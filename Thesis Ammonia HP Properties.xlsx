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ayton0-my.sharepoint.com/personal/gallagherl3_udayton_edu/Documents/Documents/Grad School/1 - CubeSat Thesis/"/>
    </mc:Choice>
  </mc:AlternateContent>
  <xr:revisionPtr revIDLastSave="140" documentId="8_{0032607A-C9CF-43CD-92B7-DFD7F29B6ADF}" xr6:coauthVersionLast="47" xr6:coauthVersionMax="47" xr10:uidLastSave="{6E7C8DBB-29DC-4240-965B-9089A0BE0885}"/>
  <bookViews>
    <workbookView xWindow="1633" yWindow="1927" windowWidth="19200" windowHeight="9980" xr2:uid="{BE53CF21-5A34-4953-AE4C-13D80686374E}"/>
  </bookViews>
  <sheets>
    <sheet name="Sheet1" sheetId="1" r:id="rId1"/>
    <sheet name="Calculations" sheetId="2" r:id="rId2"/>
    <sheet name="Sourc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G3" i="2"/>
  <c r="H3" i="2"/>
  <c r="I3" i="2"/>
  <c r="I10" i="1"/>
  <c r="I9" i="1"/>
  <c r="I8" i="1"/>
  <c r="I7" i="1"/>
  <c r="I6" i="1"/>
  <c r="I5" i="1"/>
  <c r="I4" i="1"/>
  <c r="I3" i="1"/>
  <c r="I2" i="1"/>
  <c r="H10" i="1"/>
  <c r="H9" i="1"/>
  <c r="H8" i="1"/>
  <c r="H7" i="1"/>
  <c r="H6" i="1"/>
  <c r="H5" i="1"/>
  <c r="H4" i="1"/>
  <c r="H3" i="1"/>
  <c r="H2" i="1"/>
  <c r="G10" i="1"/>
  <c r="G9" i="1"/>
  <c r="G8" i="1"/>
  <c r="G7" i="1"/>
  <c r="G6" i="1"/>
  <c r="G5" i="1"/>
  <c r="G4" i="1"/>
  <c r="G3" i="1"/>
  <c r="G2" i="1"/>
  <c r="B10" i="1"/>
  <c r="B9" i="1"/>
  <c r="B2" i="1"/>
  <c r="AF1" i="2"/>
  <c r="AK1" i="2"/>
  <c r="AA1" i="2"/>
  <c r="W8" i="2"/>
  <c r="W9" i="2"/>
  <c r="W10" i="2"/>
  <c r="W11" i="2"/>
  <c r="W12" i="2"/>
  <c r="V8" i="2"/>
  <c r="V11" i="2"/>
  <c r="V12" i="2"/>
  <c r="U12" i="2"/>
  <c r="V10" i="2"/>
  <c r="V9" i="2"/>
  <c r="U4" i="2"/>
  <c r="U5" i="2"/>
  <c r="U9" i="2"/>
  <c r="U10" i="2"/>
  <c r="U11" i="2"/>
  <c r="B4" i="1"/>
  <c r="B5" i="1"/>
  <c r="B6" i="1"/>
  <c r="B7" i="1"/>
  <c r="B8" i="1"/>
  <c r="B3" i="1"/>
  <c r="S15" i="2"/>
  <c r="S20" i="2" s="1"/>
  <c r="S9" i="2"/>
  <c r="S10" i="2" s="1"/>
  <c r="S13" i="2"/>
  <c r="S6" i="2"/>
  <c r="S5" i="2"/>
  <c r="S4" i="2"/>
  <c r="S2" i="2"/>
  <c r="L7" i="2"/>
  <c r="W7" i="2"/>
  <c r="U7" i="2"/>
  <c r="L6" i="2"/>
  <c r="W6" i="2"/>
  <c r="U6" i="2"/>
  <c r="L5" i="2"/>
  <c r="W5" i="2"/>
  <c r="L4" i="2"/>
  <c r="W4" i="2"/>
  <c r="V6" i="2" l="1"/>
  <c r="AA4" i="2"/>
  <c r="S21" i="2"/>
  <c r="AF4" i="2"/>
  <c r="AK4" i="2"/>
  <c r="V7" i="2"/>
  <c r="V5" i="2"/>
  <c r="V4" i="2"/>
  <c r="S18" i="2"/>
  <c r="S19" i="2" s="1"/>
  <c r="S17" i="2"/>
  <c r="S7" i="2"/>
  <c r="AK5" i="2" l="1"/>
  <c r="AL8" i="2" s="1"/>
  <c r="AL9" i="2"/>
  <c r="AL10" i="2"/>
  <c r="AL11" i="2"/>
  <c r="AL4" i="2"/>
  <c r="AL12" i="2"/>
  <c r="AL5" i="2"/>
  <c r="AL6" i="2"/>
  <c r="AL7" i="2"/>
  <c r="AA5" i="2"/>
  <c r="AB11" i="2" s="1"/>
  <c r="AF5" i="2"/>
  <c r="AB9" i="2"/>
  <c r="S23" i="2"/>
  <c r="AB5" i="2" l="1"/>
  <c r="AG6" i="2"/>
  <c r="AG7" i="2"/>
  <c r="AG9" i="2"/>
  <c r="AG10" i="2"/>
  <c r="AG8" i="2"/>
  <c r="AG11" i="2"/>
  <c r="AG4" i="2"/>
  <c r="AG12" i="2"/>
  <c r="AG5" i="2"/>
  <c r="AB4" i="2"/>
  <c r="AB12" i="2"/>
  <c r="AB6" i="2"/>
  <c r="AB7" i="2"/>
  <c r="AB8" i="2"/>
  <c r="AB10" i="2"/>
  <c r="X6" i="2"/>
  <c r="X11" i="2"/>
  <c r="X12" i="2"/>
  <c r="X8" i="2"/>
  <c r="X9" i="2"/>
  <c r="X10" i="2"/>
  <c r="X4" i="2"/>
  <c r="X5" i="2"/>
  <c r="X7" i="2"/>
</calcChain>
</file>

<file path=xl/sharedStrings.xml><?xml version="1.0" encoding="utf-8"?>
<sst xmlns="http://schemas.openxmlformats.org/spreadsheetml/2006/main" count="152" uniqueCount="91">
  <si>
    <t>Temperature</t>
  </si>
  <si>
    <t>Liquid thermal conductivity</t>
  </si>
  <si>
    <t>Vapour density</t>
  </si>
  <si>
    <t>Liquid density</t>
  </si>
  <si>
    <t>Latent heat</t>
  </si>
  <si>
    <t>Liquid viscosity</t>
  </si>
  <si>
    <t>Vapour viscosity</t>
  </si>
  <si>
    <t>Vapor pressure</t>
  </si>
  <si>
    <t>Vapour specific heat</t>
  </si>
  <si>
    <t>Liquid surface tension</t>
  </si>
  <si>
    <t>K</t>
  </si>
  <si>
    <t>J/kg</t>
  </si>
  <si>
    <t>kg/m^3</t>
  </si>
  <si>
    <t>W/(m*K)</t>
  </si>
  <si>
    <t>Pa*s</t>
  </si>
  <si>
    <t>Pa</t>
  </si>
  <si>
    <t>J/(kg*K)</t>
  </si>
  <si>
    <t>N/m</t>
  </si>
  <si>
    <t>Liquid_density</t>
  </si>
  <si>
    <t>Vapour_density</t>
  </si>
  <si>
    <t>Liquid_thermal_conductivity</t>
  </si>
  <si>
    <t>Liquid_viscosity</t>
  </si>
  <si>
    <t>Vapour_viscosity</t>
  </si>
  <si>
    <t>Vapor_pressure</t>
  </si>
  <si>
    <t>Vapour_specific_heat</t>
  </si>
  <si>
    <t>Liquid_surface_tension</t>
  </si>
  <si>
    <t>Latent_heat</t>
  </si>
  <si>
    <t>Latent heat of vaporization of water</t>
  </si>
  <si>
    <t>Heat pipe outer diameter</t>
  </si>
  <si>
    <t>OD</t>
  </si>
  <si>
    <t>m</t>
  </si>
  <si>
    <t>Heat pipe outer radius</t>
  </si>
  <si>
    <t>OR</t>
  </si>
  <si>
    <t>Evaporator length</t>
  </si>
  <si>
    <t>L_evap</t>
  </si>
  <si>
    <t>Adiabatic length</t>
  </si>
  <si>
    <t>L_ad</t>
  </si>
  <si>
    <t>Condensor length</t>
  </si>
  <si>
    <t>L_cond</t>
  </si>
  <si>
    <t>Effective HP lenth</t>
  </si>
  <si>
    <t>L_eff</t>
  </si>
  <si>
    <t>Heat pipe wall thickness</t>
  </si>
  <si>
    <t>t</t>
  </si>
  <si>
    <t>Heat pipe wall inner diameter</t>
  </si>
  <si>
    <t>ID</t>
  </si>
  <si>
    <t>Heat pipe wall inner radius</t>
  </si>
  <si>
    <t>IR</t>
  </si>
  <si>
    <t>Screen wire diameter</t>
  </si>
  <si>
    <t>d_wire</t>
  </si>
  <si>
    <t>N</t>
  </si>
  <si>
    <t>Wick thickness</t>
  </si>
  <si>
    <t>t_wick</t>
  </si>
  <si>
    <t>Effective pore radius</t>
  </si>
  <si>
    <t>r_eff</t>
  </si>
  <si>
    <t>Vapor space diameter</t>
  </si>
  <si>
    <t>D_vs</t>
  </si>
  <si>
    <t>Vapor space radius</t>
  </si>
  <si>
    <t>R_vs</t>
  </si>
  <si>
    <t>Wick cross-sectional area</t>
  </si>
  <si>
    <t>A_wick</t>
  </si>
  <si>
    <t>m^2</t>
  </si>
  <si>
    <t>Screen mesh parameter epsilon</t>
  </si>
  <si>
    <t>epsilon</t>
  </si>
  <si>
    <t>Wick permeabilitiy</t>
  </si>
  <si>
    <t>FOM</t>
  </si>
  <si>
    <t>Parameter (K*A_wick)/L_eff</t>
  </si>
  <si>
    <t>W</t>
  </si>
  <si>
    <t>Capacity</t>
  </si>
  <si>
    <t>term</t>
  </si>
  <si>
    <t>T (deg C)</t>
  </si>
  <si>
    <t>per m</t>
  </si>
  <si>
    <t>per in</t>
  </si>
  <si>
    <t>Vapor_specific_volume</t>
  </si>
  <si>
    <t>Liquid_specific_volume</t>
  </si>
  <si>
    <t>specific volumes</t>
  </si>
  <si>
    <t>m^3/kg</t>
  </si>
  <si>
    <t>Mesh #</t>
  </si>
  <si>
    <t># of layers</t>
  </si>
  <si>
    <t>n</t>
  </si>
  <si>
    <t>Mesh # (imperial)</t>
  </si>
  <si>
    <t>T_C</t>
  </si>
  <si>
    <t>C</t>
  </si>
  <si>
    <t>T</t>
  </si>
  <si>
    <t>Mesh = 400</t>
  </si>
  <si>
    <t>Mesh = 200</t>
  </si>
  <si>
    <t>Mesh = 100</t>
  </si>
  <si>
    <t>Mesh = 50</t>
  </si>
  <si>
    <t>parameter</t>
  </si>
  <si>
    <t>sources:</t>
  </si>
  <si>
    <t>Both heat pipes books</t>
  </si>
  <si>
    <t>engineering toolbox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</si>
</sst>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  <a:r>
              <a:rPr lang="en-US" baseline="0"/>
              <a:t> C</a:t>
            </a:r>
            <a:r>
              <a:rPr lang="en-US"/>
              <a:t>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617159737587182E-2"/>
          <c:y val="0.16861061407794137"/>
          <c:w val="0.78430173258497737"/>
          <c:h val="0.71871008611099663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Calculations!$U$1</c:f>
              <c:strCache>
                <c:ptCount val="1"/>
                <c:pt idx="0">
                  <c:v>Mesh = 400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Calculations!$U$3:$U$712</c:f>
              <c:numCache>
                <c:formatCode>General</c:formatCode>
                <c:ptCount val="710"/>
                <c:pt idx="1">
                  <c:v>-273.14999999999998</c:v>
                </c:pt>
                <c:pt idx="2">
                  <c:v>-273.14999999999998</c:v>
                </c:pt>
                <c:pt idx="3">
                  <c:v>-273.14999999999998</c:v>
                </c:pt>
                <c:pt idx="4">
                  <c:v>-273.14999999999998</c:v>
                </c:pt>
                <c:pt idx="5">
                  <c:v>120</c:v>
                </c:pt>
                <c:pt idx="6">
                  <c:v>-273.14999999999998</c:v>
                </c:pt>
                <c:pt idx="7">
                  <c:v>-273.14999999999998</c:v>
                </c:pt>
                <c:pt idx="8">
                  <c:v>-273.14999999999998</c:v>
                </c:pt>
                <c:pt idx="9">
                  <c:v>-273.14999999999998</c:v>
                </c:pt>
              </c:numCache>
            </c:numRef>
          </c:xVal>
          <c:yVal>
            <c:numRef>
              <c:f>Calculations!$X$3:$X$12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1-4D60-AC02-3B6D6F01EC64}"/>
            </c:ext>
          </c:extLst>
        </c:ser>
        <c:ser>
          <c:idx val="1"/>
          <c:order val="1"/>
          <c:tx>
            <c:strRef>
              <c:f>Calculations!$Z$1</c:f>
              <c:strCache>
                <c:ptCount val="1"/>
                <c:pt idx="0">
                  <c:v>Mesh = 200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Calculations!$U$3:$U$12</c:f>
              <c:numCache>
                <c:formatCode>General</c:formatCode>
                <c:ptCount val="10"/>
                <c:pt idx="1">
                  <c:v>-273.14999999999998</c:v>
                </c:pt>
                <c:pt idx="2">
                  <c:v>-273.14999999999998</c:v>
                </c:pt>
                <c:pt idx="3">
                  <c:v>-273.14999999999998</c:v>
                </c:pt>
                <c:pt idx="4">
                  <c:v>-273.14999999999998</c:v>
                </c:pt>
                <c:pt idx="5">
                  <c:v>120</c:v>
                </c:pt>
                <c:pt idx="6">
                  <c:v>-273.14999999999998</c:v>
                </c:pt>
                <c:pt idx="7">
                  <c:v>-273.14999999999998</c:v>
                </c:pt>
                <c:pt idx="8">
                  <c:v>-273.14999999999998</c:v>
                </c:pt>
                <c:pt idx="9">
                  <c:v>-273.14999999999998</c:v>
                </c:pt>
              </c:numCache>
            </c:numRef>
          </c:xVal>
          <c:yVal>
            <c:numRef>
              <c:f>Calculations!$AB$3:$AB$12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F-46DD-B11A-F048B629B7FD}"/>
            </c:ext>
          </c:extLst>
        </c:ser>
        <c:ser>
          <c:idx val="2"/>
          <c:order val="2"/>
          <c:tx>
            <c:strRef>
              <c:f>Calculations!$AE$1</c:f>
              <c:strCache>
                <c:ptCount val="1"/>
                <c:pt idx="0">
                  <c:v>Mesh = 100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Calculations!$U$3:$U$12</c:f>
              <c:numCache>
                <c:formatCode>General</c:formatCode>
                <c:ptCount val="10"/>
                <c:pt idx="1">
                  <c:v>-273.14999999999998</c:v>
                </c:pt>
                <c:pt idx="2">
                  <c:v>-273.14999999999998</c:v>
                </c:pt>
                <c:pt idx="3">
                  <c:v>-273.14999999999998</c:v>
                </c:pt>
                <c:pt idx="4">
                  <c:v>-273.14999999999998</c:v>
                </c:pt>
                <c:pt idx="5">
                  <c:v>120</c:v>
                </c:pt>
                <c:pt idx="6">
                  <c:v>-273.14999999999998</c:v>
                </c:pt>
                <c:pt idx="7">
                  <c:v>-273.14999999999998</c:v>
                </c:pt>
                <c:pt idx="8">
                  <c:v>-273.14999999999998</c:v>
                </c:pt>
                <c:pt idx="9">
                  <c:v>-273.14999999999998</c:v>
                </c:pt>
              </c:numCache>
            </c:numRef>
          </c:xVal>
          <c:yVal>
            <c:numRef>
              <c:f>Calculations!$AG$3:$AG$12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DF-46DD-B11A-F048B629B7FD}"/>
            </c:ext>
          </c:extLst>
        </c:ser>
        <c:ser>
          <c:idx val="3"/>
          <c:order val="3"/>
          <c:tx>
            <c:strRef>
              <c:f>Calculations!$AJ$1</c:f>
              <c:strCache>
                <c:ptCount val="1"/>
                <c:pt idx="0">
                  <c:v>Mesh = 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Calculations!$U$3:$U$12</c:f>
              <c:numCache>
                <c:formatCode>General</c:formatCode>
                <c:ptCount val="10"/>
                <c:pt idx="1">
                  <c:v>-273.14999999999998</c:v>
                </c:pt>
                <c:pt idx="2">
                  <c:v>-273.14999999999998</c:v>
                </c:pt>
                <c:pt idx="3">
                  <c:v>-273.14999999999998</c:v>
                </c:pt>
                <c:pt idx="4">
                  <c:v>-273.14999999999998</c:v>
                </c:pt>
                <c:pt idx="5">
                  <c:v>120</c:v>
                </c:pt>
                <c:pt idx="6">
                  <c:v>-273.14999999999998</c:v>
                </c:pt>
                <c:pt idx="7">
                  <c:v>-273.14999999999998</c:v>
                </c:pt>
                <c:pt idx="8">
                  <c:v>-273.14999999999998</c:v>
                </c:pt>
                <c:pt idx="9">
                  <c:v>-273.14999999999998</c:v>
                </c:pt>
              </c:numCache>
            </c:numRef>
          </c:xVal>
          <c:yVal>
            <c:numRef>
              <c:f>Calculations!$AL$3:$AL$12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DF-46DD-B11A-F048B629B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337759"/>
        <c:axId val="1060338239"/>
      </c:scatterChart>
      <c:valAx>
        <c:axId val="106033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338239"/>
        <c:crosses val="autoZero"/>
        <c:crossBetween val="midCat"/>
      </c:valAx>
      <c:valAx>
        <c:axId val="10603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337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209826</xdr:colOff>
      <xdr:row>13</xdr:row>
      <xdr:rowOff>2393</xdr:rowOff>
    </xdr:from>
    <xdr:to>
      <xdr:col>28</xdr:col>
      <xdr:colOff>279768</xdr:colOff>
      <xdr:row>33</xdr:row>
      <xdr:rowOff>62580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38CEB-1869-BDD7-08AB-358E43A06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91FD-1D1B-4E16-8083-9E2676484DAD}">
  <dimension ref="A1:M10"/>
  <sheetViews>
    <sheetView tabSelected="1" zoomScaleNormal="100" workbookViewId="0">
      <selection activeCell="D10" sqref="D10"/>
    </sheetView>
  </sheetViews>
  <sheetFormatPr defaultRowHeight="14.35" x14ac:dyDescent="0.5"/>
  <cols>
    <col min="1" max="1" width="13.41015625" customWidth="1"/>
    <col min="2" max="2" width="11.64453125" customWidth="1"/>
    <col min="3" max="3" width="11.234375" customWidth="1"/>
    <col min="4" max="4" width="17.41015625" customWidth="1"/>
    <col min="5" max="5" width="16.87890625" customWidth="1"/>
    <col min="6" max="6" width="23.703125" customWidth="1"/>
    <col min="7" max="7" width="16.29296875" customWidth="1"/>
    <col min="8" max="8" width="16.234375" customWidth="1"/>
    <col min="9" max="9" width="16.1171875" customWidth="1"/>
    <col min="10" max="10" width="20.41015625" customWidth="1"/>
    <col min="11" max="11" width="21.76171875" customWidth="1"/>
    <col min="12" max="12" width="20.234375" customWidth="1"/>
    <col min="13" max="13" width="17.87890625" customWidth="1"/>
  </cols>
  <sheetData>
    <row r="1" spans="1:13" x14ac:dyDescent="0.5">
      <c r="A1" t="s">
        <v>80</v>
      </c>
      <c r="B1" t="s">
        <v>0</v>
      </c>
      <c r="C1" t="s">
        <v>26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72</v>
      </c>
      <c r="M1" t="s">
        <v>73</v>
      </c>
    </row>
    <row r="2" spans="1:13" x14ac:dyDescent="0.5">
      <c r="A2">
        <v>-40</v>
      </c>
      <c r="B2">
        <f>A2+273.15</f>
        <v>233.14999999999998</v>
      </c>
      <c r="C2">
        <v>1384000</v>
      </c>
      <c r="D2">
        <v>690.4</v>
      </c>
      <c r="E2">
        <v>0.05</v>
      </c>
      <c r="F2">
        <v>0.30299999999999999</v>
      </c>
      <c r="G2">
        <f>0.29*10^(-3)</f>
        <v>2.9E-4</v>
      </c>
      <c r="H2">
        <f>0.79*10^(-5)</f>
        <v>7.9000000000000006E-6</v>
      </c>
      <c r="I2">
        <f>0.76*100000</f>
        <v>76000</v>
      </c>
      <c r="J2">
        <v>2075</v>
      </c>
      <c r="K2">
        <v>3.5740000000000001E-2</v>
      </c>
      <c r="L2">
        <v>1.5525599999999999</v>
      </c>
      <c r="M2">
        <v>1.4499999999999999E-3</v>
      </c>
    </row>
    <row r="3" spans="1:13" x14ac:dyDescent="0.5">
      <c r="A3">
        <v>-20</v>
      </c>
      <c r="B3">
        <f>A3+273.15</f>
        <v>253.14999999999998</v>
      </c>
      <c r="C3">
        <v>1338000</v>
      </c>
      <c r="D3">
        <v>665.5</v>
      </c>
      <c r="E3">
        <v>1.62</v>
      </c>
      <c r="F3">
        <v>0.30399999999999999</v>
      </c>
      <c r="G3">
        <f>0.26*10^(-3)</f>
        <v>2.6000000000000003E-4</v>
      </c>
      <c r="H3">
        <f>0.85*10^(-5)</f>
        <v>8.4999999999999999E-6</v>
      </c>
      <c r="I3">
        <f>1.93*100000</f>
        <v>193000</v>
      </c>
      <c r="J3">
        <v>2100</v>
      </c>
      <c r="K3">
        <v>3.09E-2</v>
      </c>
      <c r="L3">
        <v>0.62334000000000001</v>
      </c>
      <c r="M3">
        <v>1.5039999999999999E-3</v>
      </c>
    </row>
    <row r="4" spans="1:13" x14ac:dyDescent="0.5">
      <c r="A4">
        <v>0</v>
      </c>
      <c r="B4">
        <f t="shared" ref="B4:B8" si="0">A4+273.15</f>
        <v>273.14999999999998</v>
      </c>
      <c r="C4">
        <v>1263000</v>
      </c>
      <c r="D4">
        <v>638.6</v>
      </c>
      <c r="E4">
        <v>3.48</v>
      </c>
      <c r="F4">
        <v>0.29799999999999999</v>
      </c>
      <c r="G4">
        <f>0.25*10^(-3)</f>
        <v>2.5000000000000001E-4</v>
      </c>
      <c r="H4">
        <f>0.92*10^(-5)</f>
        <v>9.2000000000000017E-6</v>
      </c>
      <c r="I4">
        <f>4.24*100000</f>
        <v>424000</v>
      </c>
      <c r="J4">
        <v>2125</v>
      </c>
      <c r="K4">
        <v>2.4799999999999999E-2</v>
      </c>
      <c r="L4">
        <v>0.28920000000000001</v>
      </c>
      <c r="M4">
        <v>1.5659999999999999E-3</v>
      </c>
    </row>
    <row r="5" spans="1:13" x14ac:dyDescent="0.5">
      <c r="A5">
        <v>20</v>
      </c>
      <c r="B5">
        <f t="shared" si="0"/>
        <v>293.14999999999998</v>
      </c>
      <c r="C5">
        <v>1187000</v>
      </c>
      <c r="D5">
        <v>610.29999999999995</v>
      </c>
      <c r="E5">
        <v>6.69</v>
      </c>
      <c r="F5">
        <v>0.28599999999999998</v>
      </c>
      <c r="G5">
        <f>0.22*10^(-3)</f>
        <v>2.2000000000000001E-4</v>
      </c>
      <c r="H5">
        <f>1.01*10^(-5)</f>
        <v>1.0100000000000002E-5</v>
      </c>
      <c r="I5">
        <f>8.46*100000</f>
        <v>846000.00000000012</v>
      </c>
      <c r="J5">
        <v>2150</v>
      </c>
      <c r="K5">
        <v>2.1329999999999998E-2</v>
      </c>
      <c r="L5">
        <v>0.14921999999999999</v>
      </c>
      <c r="M5">
        <v>1.6379999999999999E-3</v>
      </c>
    </row>
    <row r="6" spans="1:13" x14ac:dyDescent="0.5">
      <c r="A6">
        <v>40</v>
      </c>
      <c r="B6">
        <f t="shared" si="0"/>
        <v>313.14999999999998</v>
      </c>
      <c r="C6">
        <v>1101000</v>
      </c>
      <c r="D6">
        <v>579.5</v>
      </c>
      <c r="E6">
        <v>12</v>
      </c>
      <c r="F6">
        <v>0.27200000000000002</v>
      </c>
      <c r="G6">
        <f>0.2*10^(-3)</f>
        <v>2.0000000000000001E-4</v>
      </c>
      <c r="H6">
        <f>1.16*10^(-5)</f>
        <v>1.1600000000000001E-5</v>
      </c>
      <c r="I6">
        <f>15.34*100000</f>
        <v>1534000</v>
      </c>
      <c r="J6">
        <v>2160</v>
      </c>
      <c r="K6">
        <v>1.8329999999999999E-2</v>
      </c>
      <c r="L6">
        <v>8.3129999999999996E-2</v>
      </c>
      <c r="M6">
        <v>1.725E-3</v>
      </c>
    </row>
    <row r="7" spans="1:13" x14ac:dyDescent="0.5">
      <c r="A7">
        <v>60</v>
      </c>
      <c r="B7">
        <f t="shared" si="0"/>
        <v>333.15</v>
      </c>
      <c r="C7">
        <v>1026000</v>
      </c>
      <c r="D7">
        <v>545.20000000000005</v>
      </c>
      <c r="E7">
        <v>20.49</v>
      </c>
      <c r="F7">
        <v>0.255</v>
      </c>
      <c r="G7">
        <f>0.17*10^(-3)</f>
        <v>1.7000000000000001E-4</v>
      </c>
      <c r="H7">
        <f>1.27*10^(-5)</f>
        <v>1.27E-5</v>
      </c>
      <c r="I7">
        <f>29.8*100000</f>
        <v>2980000</v>
      </c>
      <c r="J7">
        <v>2180</v>
      </c>
      <c r="K7">
        <v>1.367E-2</v>
      </c>
      <c r="L7">
        <v>4.8800000000000003E-2</v>
      </c>
      <c r="M7">
        <v>1.8339999999999999E-3</v>
      </c>
    </row>
    <row r="8" spans="1:13" x14ac:dyDescent="0.5">
      <c r="A8">
        <v>80</v>
      </c>
      <c r="B8">
        <f t="shared" si="0"/>
        <v>353.15</v>
      </c>
      <c r="C8">
        <v>891000</v>
      </c>
      <c r="D8">
        <v>505.7</v>
      </c>
      <c r="E8">
        <v>34.130000000000003</v>
      </c>
      <c r="F8">
        <v>0.23499999999999999</v>
      </c>
      <c r="G8">
        <f>0.15*10^(-3)</f>
        <v>1.4999999999999999E-4</v>
      </c>
      <c r="H8">
        <f>1.4*10^(-5)</f>
        <v>1.4E-5</v>
      </c>
      <c r="I8">
        <f>40.9*100000</f>
        <v>4090000</v>
      </c>
      <c r="J8">
        <v>2210</v>
      </c>
      <c r="K8">
        <v>7.6699999999999997E-3</v>
      </c>
      <c r="L8">
        <v>2.9510000000000002E-2</v>
      </c>
      <c r="M8">
        <v>1.9780000000000002E-3</v>
      </c>
    </row>
    <row r="9" spans="1:13" x14ac:dyDescent="0.5">
      <c r="A9">
        <v>100</v>
      </c>
      <c r="B9">
        <f>A9+273.15</f>
        <v>373.15</v>
      </c>
      <c r="C9">
        <v>699000</v>
      </c>
      <c r="D9">
        <v>455.1</v>
      </c>
      <c r="E9">
        <v>54.92</v>
      </c>
      <c r="F9">
        <v>0.21199999999999999</v>
      </c>
      <c r="G9">
        <f>0.11*10^(-3)</f>
        <v>1.1E-4</v>
      </c>
      <c r="H9">
        <f>1.6*10^(-5)</f>
        <v>1.6000000000000003E-5</v>
      </c>
      <c r="I9">
        <f>63.12*100000</f>
        <v>6312000</v>
      </c>
      <c r="J9">
        <v>2260</v>
      </c>
      <c r="K9">
        <v>5.0000000000000001E-3</v>
      </c>
      <c r="L9">
        <v>1.7840000000000002E-2</v>
      </c>
      <c r="M9">
        <v>2.1879999999999998E-3</v>
      </c>
    </row>
    <row r="10" spans="1:13" x14ac:dyDescent="0.5">
      <c r="A10">
        <v>120</v>
      </c>
      <c r="B10">
        <f>A10+273.15</f>
        <v>393.15</v>
      </c>
      <c r="C10">
        <v>428000</v>
      </c>
      <c r="D10">
        <v>374.4</v>
      </c>
      <c r="E10">
        <v>113.16</v>
      </c>
      <c r="F10">
        <v>0.184</v>
      </c>
      <c r="G10">
        <f>0.07*10^(-3)</f>
        <v>7.0000000000000007E-5</v>
      </c>
      <c r="H10">
        <f>1.89*10^(-5)</f>
        <v>1.8900000000000002E-5</v>
      </c>
      <c r="I10">
        <f>90.44*100000</f>
        <v>9044000</v>
      </c>
      <c r="J10">
        <v>2292</v>
      </c>
      <c r="K10">
        <v>1.5E-3</v>
      </c>
      <c r="L10">
        <v>1.0030000000000001E-2</v>
      </c>
      <c r="M10">
        <v>2.5890000000000002E-3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E0BB-2029-4383-9362-BBDAAE5DBEED}">
  <dimension ref="A1:AM23"/>
  <sheetViews>
    <sheetView topLeftCell="E1" zoomScale="101" zoomScaleNormal="115" workbookViewId="0">
      <selection activeCell="D13" sqref="D13"/>
    </sheetView>
  </sheetViews>
  <sheetFormatPr defaultRowHeight="14.35" x14ac:dyDescent="0.5"/>
  <cols>
    <col min="1" max="1" width="14.05859375" customWidth="1"/>
    <col min="2" max="2" width="13.3515625" customWidth="1"/>
    <col min="3" max="3" width="16.9375" customWidth="1"/>
    <col min="4" max="4" width="18.3515625" customWidth="1"/>
    <col min="5" max="5" width="16.29296875" customWidth="1"/>
    <col min="6" max="6" width="17" customWidth="1"/>
    <col min="7" max="7" width="15.5859375" customWidth="1"/>
    <col min="8" max="9" width="18.703125" customWidth="1"/>
    <col min="10" max="10" width="17.87890625" customWidth="1"/>
    <col min="11" max="11" width="29.17578125" customWidth="1"/>
    <col min="12" max="12" width="4" customWidth="1"/>
    <col min="13" max="13" width="9.05859375" customWidth="1"/>
    <col min="14" max="14" width="29.52734375" customWidth="1"/>
    <col min="16" max="16" width="15.3515625" customWidth="1"/>
    <col min="17" max="17" width="29.234375" customWidth="1"/>
    <col min="19" max="19" width="14.05859375" customWidth="1"/>
    <col min="20" max="20" width="6.9375" customWidth="1"/>
    <col min="21" max="21" width="8.234375" customWidth="1"/>
    <col min="24" max="24" width="14.64453125" customWidth="1"/>
    <col min="26" max="26" width="11.76171875" customWidth="1"/>
    <col min="27" max="27" width="11.76171875" bestFit="1" customWidth="1"/>
    <col min="32" max="32" width="11.76171875" bestFit="1" customWidth="1"/>
    <col min="37" max="37" width="11.76171875" bestFit="1" customWidth="1"/>
  </cols>
  <sheetData>
    <row r="1" spans="1:39" x14ac:dyDescent="0.5">
      <c r="A1" s="1" t="s">
        <v>82</v>
      </c>
      <c r="B1" s="1" t="s">
        <v>0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27</v>
      </c>
      <c r="M1" s="2" t="s">
        <v>74</v>
      </c>
      <c r="Q1" t="s">
        <v>28</v>
      </c>
      <c r="R1" t="s">
        <v>29</v>
      </c>
      <c r="S1">
        <v>1.2749999999999999E-2</v>
      </c>
      <c r="T1" t="s">
        <v>30</v>
      </c>
      <c r="U1" s="3" t="s">
        <v>83</v>
      </c>
      <c r="Z1" s="3" t="s">
        <v>84</v>
      </c>
      <c r="AA1" s="3">
        <f>200/0.0254</f>
        <v>7874.0157480314965</v>
      </c>
      <c r="AE1" s="3" t="s">
        <v>85</v>
      </c>
      <c r="AF1" s="3">
        <f>100/0.0254</f>
        <v>3937.0078740157483</v>
      </c>
      <c r="AG1" s="3"/>
      <c r="AH1" s="3"/>
      <c r="AI1" s="3"/>
      <c r="AJ1" s="3" t="s">
        <v>86</v>
      </c>
      <c r="AK1" s="3">
        <f>50/0.0254</f>
        <v>1968.5039370078741</v>
      </c>
    </row>
    <row r="2" spans="1:39" x14ac:dyDescent="0.5">
      <c r="A2" s="1" t="s">
        <v>81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11</v>
      </c>
      <c r="M2" s="2" t="s">
        <v>75</v>
      </c>
      <c r="Q2" t="s">
        <v>31</v>
      </c>
      <c r="R2" t="s">
        <v>32</v>
      </c>
      <c r="S2">
        <f>S1/2</f>
        <v>6.3749999999999996E-3</v>
      </c>
      <c r="T2" t="s">
        <v>30</v>
      </c>
      <c r="U2" t="s">
        <v>69</v>
      </c>
      <c r="V2" t="s">
        <v>64</v>
      </c>
      <c r="W2" t="s">
        <v>68</v>
      </c>
      <c r="X2" t="s">
        <v>67</v>
      </c>
      <c r="AB2" t="s">
        <v>67</v>
      </c>
      <c r="AG2" t="s">
        <v>67</v>
      </c>
      <c r="AL2" t="s">
        <v>67</v>
      </c>
    </row>
    <row r="3" spans="1:39" x14ac:dyDescent="0.5">
      <c r="A3">
        <v>-60</v>
      </c>
      <c r="B3">
        <f>A3+273.15</f>
        <v>213.14999999999998</v>
      </c>
      <c r="C3">
        <v>1343000</v>
      </c>
      <c r="D3">
        <v>714.4</v>
      </c>
      <c r="E3">
        <v>0.03</v>
      </c>
      <c r="F3">
        <v>0.29399999999999998</v>
      </c>
      <c r="G3">
        <f>0.36*10^(-3)</f>
        <v>3.5999999999999997E-4</v>
      </c>
      <c r="H3">
        <f>0.72*10^(-5)</f>
        <v>7.2000000000000005E-6</v>
      </c>
      <c r="I3">
        <f>0.27*100000</f>
        <v>27000</v>
      </c>
      <c r="J3">
        <v>2050</v>
      </c>
      <c r="K3">
        <v>4.0620000000000003E-2</v>
      </c>
    </row>
    <row r="4" spans="1:39" x14ac:dyDescent="0.5">
      <c r="L4">
        <f>2406*1000</f>
        <v>2406000</v>
      </c>
      <c r="Q4" t="s">
        <v>33</v>
      </c>
      <c r="R4" t="s">
        <v>34</v>
      </c>
      <c r="S4" t="e">
        <f>#REF!/4</f>
        <v>#REF!</v>
      </c>
      <c r="T4" t="s">
        <v>30</v>
      </c>
      <c r="U4">
        <f>B4 - 273.15</f>
        <v>-273.14999999999998</v>
      </c>
      <c r="V4" t="e">
        <f t="shared" ref="V4:V12" si="0">(K4*D4*C4)/G4</f>
        <v>#DIV/0!</v>
      </c>
      <c r="W4" t="e">
        <f>(2/$S$16)-(D4*9.81*#REF!*COS(PI()/2)/K4)</f>
        <v>#REF!</v>
      </c>
      <c r="X4" t="e">
        <f t="shared" ref="X4:X12" si="1">S$23*V4*W4</f>
        <v>#REF!</v>
      </c>
      <c r="Y4" t="s">
        <v>66</v>
      </c>
      <c r="Z4" t="s">
        <v>10</v>
      </c>
      <c r="AA4" t="e">
        <f>(($S$15^2)*(#REF!^3))/(122*((1 -#REF!)^2))</f>
        <v>#REF!</v>
      </c>
      <c r="AB4" t="e">
        <f t="shared" ref="AB4:AB12" si="2">$AA$5*$V4*$W4</f>
        <v>#REF!</v>
      </c>
      <c r="AC4" t="s">
        <v>66</v>
      </c>
      <c r="AE4" t="s">
        <v>10</v>
      </c>
      <c r="AF4" t="e">
        <f>(($S$15^2)*(#REF!^3))/(122*((1 -#REF!)^2))</f>
        <v>#REF!</v>
      </c>
      <c r="AG4" t="e">
        <f t="shared" ref="AG4:AG12" si="3">$AF$5*$V4*$W4</f>
        <v>#REF!</v>
      </c>
      <c r="AH4" t="s">
        <v>66</v>
      </c>
      <c r="AJ4" t="s">
        <v>10</v>
      </c>
      <c r="AK4" t="e">
        <f>(($S$15^2)*(#REF!^3))/(122*((1 -#REF!)^2))</f>
        <v>#REF!</v>
      </c>
      <c r="AL4" t="e">
        <f t="shared" ref="AL4:AL12" si="4">$AK$5*$V4*$W4</f>
        <v>#REF!</v>
      </c>
      <c r="AM4" t="s">
        <v>66</v>
      </c>
    </row>
    <row r="5" spans="1:39" x14ac:dyDescent="0.5">
      <c r="L5">
        <f>2357.7*1000</f>
        <v>2357700</v>
      </c>
      <c r="Q5" t="s">
        <v>35</v>
      </c>
      <c r="R5" t="s">
        <v>36</v>
      </c>
      <c r="S5" t="e">
        <f>#REF!/2</f>
        <v>#REF!</v>
      </c>
      <c r="T5" t="s">
        <v>30</v>
      </c>
      <c r="U5">
        <f>B5 - 273.15</f>
        <v>-273.14999999999998</v>
      </c>
      <c r="V5" t="e">
        <f t="shared" si="0"/>
        <v>#DIV/0!</v>
      </c>
      <c r="W5" t="e">
        <f>(2/$S$16)-(D5*9.81*#REF!*COS(PI()/2)/K5)</f>
        <v>#REF!</v>
      </c>
      <c r="X5" t="e">
        <f t="shared" si="1"/>
        <v>#REF!</v>
      </c>
      <c r="Y5" t="s">
        <v>66</v>
      </c>
      <c r="Z5" t="s">
        <v>87</v>
      </c>
      <c r="AA5" t="e">
        <f>(AA4*$S$19)/$S$7</f>
        <v>#REF!</v>
      </c>
      <c r="AB5" t="e">
        <f t="shared" si="2"/>
        <v>#REF!</v>
      </c>
      <c r="AC5" t="s">
        <v>66</v>
      </c>
      <c r="AE5" t="s">
        <v>87</v>
      </c>
      <c r="AF5" t="e">
        <f>(AF4*$S$19)/$S$7</f>
        <v>#REF!</v>
      </c>
      <c r="AG5" t="e">
        <f t="shared" si="3"/>
        <v>#REF!</v>
      </c>
      <c r="AH5" t="s">
        <v>66</v>
      </c>
      <c r="AJ5" t="s">
        <v>87</v>
      </c>
      <c r="AK5" t="e">
        <f>(AK4*$S$19)/$S$7</f>
        <v>#REF!</v>
      </c>
      <c r="AL5" t="e">
        <f t="shared" si="4"/>
        <v>#REF!</v>
      </c>
      <c r="AM5" t="s">
        <v>66</v>
      </c>
    </row>
    <row r="6" spans="1:39" x14ac:dyDescent="0.5">
      <c r="L6">
        <f>2308*1000</f>
        <v>2308000</v>
      </c>
      <c r="Q6" t="s">
        <v>37</v>
      </c>
      <c r="R6" t="s">
        <v>38</v>
      </c>
      <c r="S6" t="e">
        <f>#REF!/4</f>
        <v>#REF!</v>
      </c>
      <c r="T6" t="s">
        <v>30</v>
      </c>
      <c r="U6">
        <f>B6 - 273.15</f>
        <v>-273.14999999999998</v>
      </c>
      <c r="V6" t="e">
        <f t="shared" si="0"/>
        <v>#DIV/0!</v>
      </c>
      <c r="W6" t="e">
        <f>(2/$S$16)-(D6*9.81*#REF!*COS(PI()/2)/K6)</f>
        <v>#REF!</v>
      </c>
      <c r="X6" t="e">
        <f t="shared" si="1"/>
        <v>#REF!</v>
      </c>
      <c r="Y6" t="s">
        <v>66</v>
      </c>
      <c r="AB6" t="e">
        <f t="shared" si="2"/>
        <v>#REF!</v>
      </c>
      <c r="AC6" t="s">
        <v>66</v>
      </c>
      <c r="AG6" t="e">
        <f t="shared" si="3"/>
        <v>#REF!</v>
      </c>
      <c r="AH6" t="s">
        <v>66</v>
      </c>
      <c r="AL6" t="e">
        <f t="shared" si="4"/>
        <v>#REF!</v>
      </c>
      <c r="AM6" t="s">
        <v>66</v>
      </c>
    </row>
    <row r="7" spans="1:39" x14ac:dyDescent="0.5">
      <c r="L7">
        <f>2256.4*1000</f>
        <v>2256400</v>
      </c>
      <c r="Q7" t="s">
        <v>39</v>
      </c>
      <c r="R7" t="s">
        <v>40</v>
      </c>
      <c r="S7" t="e">
        <f>S5 + (S4/2) + (S6/2)</f>
        <v>#REF!</v>
      </c>
      <c r="T7" t="s">
        <v>30</v>
      </c>
      <c r="U7">
        <f>B7 - 273.15</f>
        <v>-273.14999999999998</v>
      </c>
      <c r="V7" t="e">
        <f t="shared" si="0"/>
        <v>#DIV/0!</v>
      </c>
      <c r="W7" t="e">
        <f>(2/$S$16)-(D7*9.81*#REF!*COS(PI()/2)/K7)</f>
        <v>#REF!</v>
      </c>
      <c r="X7" t="e">
        <f t="shared" si="1"/>
        <v>#REF!</v>
      </c>
      <c r="Y7" t="s">
        <v>66</v>
      </c>
      <c r="AB7" t="e">
        <f t="shared" si="2"/>
        <v>#REF!</v>
      </c>
      <c r="AC7" t="s">
        <v>66</v>
      </c>
      <c r="AG7" t="e">
        <f t="shared" si="3"/>
        <v>#REF!</v>
      </c>
      <c r="AH7" t="s">
        <v>66</v>
      </c>
      <c r="AL7" t="e">
        <f t="shared" si="4"/>
        <v>#REF!</v>
      </c>
      <c r="AM7" t="s">
        <v>66</v>
      </c>
    </row>
    <row r="8" spans="1:39" x14ac:dyDescent="0.5">
      <c r="L8">
        <v>2202900</v>
      </c>
      <c r="Q8" t="s">
        <v>41</v>
      </c>
      <c r="R8" t="s">
        <v>42</v>
      </c>
      <c r="S8">
        <v>1E-3</v>
      </c>
      <c r="T8" t="s">
        <v>30</v>
      </c>
      <c r="U8">
        <v>120</v>
      </c>
      <c r="V8" t="e">
        <f t="shared" si="0"/>
        <v>#DIV/0!</v>
      </c>
      <c r="W8" t="e">
        <f>(2/$S$16)-(D8*9.81*#REF!*COS(PI()/2)/K8)</f>
        <v>#REF!</v>
      </c>
      <c r="X8" t="e">
        <f t="shared" si="1"/>
        <v>#REF!</v>
      </c>
      <c r="Y8" t="s">
        <v>66</v>
      </c>
      <c r="AB8" t="e">
        <f t="shared" si="2"/>
        <v>#REF!</v>
      </c>
      <c r="AC8" t="s">
        <v>66</v>
      </c>
      <c r="AG8" t="e">
        <f t="shared" si="3"/>
        <v>#REF!</v>
      </c>
      <c r="AH8" t="s">
        <v>66</v>
      </c>
      <c r="AL8" t="e">
        <f t="shared" si="4"/>
        <v>#REF!</v>
      </c>
      <c r="AM8" t="s">
        <v>66</v>
      </c>
    </row>
    <row r="9" spans="1:39" x14ac:dyDescent="0.5">
      <c r="L9">
        <v>2144900</v>
      </c>
      <c r="Q9" t="s">
        <v>43</v>
      </c>
      <c r="R9" t="s">
        <v>44</v>
      </c>
      <c r="S9">
        <f>S1-(2*S8)</f>
        <v>1.0749999999999999E-2</v>
      </c>
      <c r="T9" t="s">
        <v>30</v>
      </c>
      <c r="U9">
        <f>B9 - 273.15</f>
        <v>-273.14999999999998</v>
      </c>
      <c r="V9" t="e">
        <f t="shared" si="0"/>
        <v>#DIV/0!</v>
      </c>
      <c r="W9" t="e">
        <f>(2/$S$16)-(D9*9.81*#REF!*COS(PI()/2)/K9)</f>
        <v>#REF!</v>
      </c>
      <c r="X9" t="e">
        <f t="shared" si="1"/>
        <v>#REF!</v>
      </c>
      <c r="Y9" t="s">
        <v>66</v>
      </c>
      <c r="AB9" t="e">
        <f t="shared" si="2"/>
        <v>#REF!</v>
      </c>
      <c r="AC9" t="s">
        <v>66</v>
      </c>
      <c r="AG9" t="e">
        <f t="shared" si="3"/>
        <v>#REF!</v>
      </c>
      <c r="AH9" t="s">
        <v>66</v>
      </c>
      <c r="AL9" t="e">
        <f t="shared" si="4"/>
        <v>#REF!</v>
      </c>
      <c r="AM9" t="s">
        <v>66</v>
      </c>
    </row>
    <row r="10" spans="1:39" x14ac:dyDescent="0.5">
      <c r="L10">
        <v>2082200</v>
      </c>
      <c r="Q10" t="s">
        <v>45</v>
      </c>
      <c r="R10" t="s">
        <v>46</v>
      </c>
      <c r="S10">
        <f>S9/2</f>
        <v>5.3749999999999996E-3</v>
      </c>
      <c r="T10" t="s">
        <v>30</v>
      </c>
      <c r="U10">
        <f>B10 - 273.15</f>
        <v>-273.14999999999998</v>
      </c>
      <c r="V10" t="e">
        <f t="shared" si="0"/>
        <v>#DIV/0!</v>
      </c>
      <c r="W10" t="e">
        <f>(2/$S$16)-(D10*9.81*#REF!*COS(PI()/2)/K10)</f>
        <v>#REF!</v>
      </c>
      <c r="X10" t="e">
        <f t="shared" si="1"/>
        <v>#REF!</v>
      </c>
      <c r="Y10" t="s">
        <v>66</v>
      </c>
      <c r="AB10" t="e">
        <f t="shared" si="2"/>
        <v>#REF!</v>
      </c>
      <c r="AC10" t="s">
        <v>66</v>
      </c>
      <c r="AG10" t="e">
        <f t="shared" si="3"/>
        <v>#REF!</v>
      </c>
      <c r="AH10" t="s">
        <v>66</v>
      </c>
      <c r="AL10" t="e">
        <f t="shared" si="4"/>
        <v>#REF!</v>
      </c>
      <c r="AM10" t="s">
        <v>66</v>
      </c>
    </row>
    <row r="11" spans="1:39" x14ac:dyDescent="0.5">
      <c r="L11">
        <v>2014000</v>
      </c>
      <c r="Q11" t="s">
        <v>47</v>
      </c>
      <c r="R11" t="s">
        <v>48</v>
      </c>
      <c r="S11">
        <v>2.5000000000000001E-5</v>
      </c>
      <c r="T11" t="s">
        <v>30</v>
      </c>
      <c r="U11">
        <f>B11 - 273.15</f>
        <v>-273.14999999999998</v>
      </c>
      <c r="V11" t="e">
        <f t="shared" si="0"/>
        <v>#DIV/0!</v>
      </c>
      <c r="W11" t="e">
        <f>(2/$S$16)-(D11*9.81*#REF!*COS(PI()/2)/K11)</f>
        <v>#REF!</v>
      </c>
      <c r="X11" t="e">
        <f t="shared" si="1"/>
        <v>#REF!</v>
      </c>
      <c r="Y11" t="s">
        <v>66</v>
      </c>
      <c r="AB11" t="e">
        <f t="shared" si="2"/>
        <v>#REF!</v>
      </c>
      <c r="AC11" t="s">
        <v>66</v>
      </c>
      <c r="AG11" t="e">
        <f t="shared" si="3"/>
        <v>#REF!</v>
      </c>
      <c r="AH11" t="s">
        <v>66</v>
      </c>
      <c r="AL11" t="e">
        <f t="shared" si="4"/>
        <v>#REF!</v>
      </c>
      <c r="AM11" t="s">
        <v>66</v>
      </c>
    </row>
    <row r="12" spans="1:39" x14ac:dyDescent="0.5">
      <c r="L12">
        <v>1939000</v>
      </c>
      <c r="Q12" t="s">
        <v>79</v>
      </c>
      <c r="S12">
        <v>400</v>
      </c>
      <c r="T12" t="s">
        <v>71</v>
      </c>
      <c r="U12">
        <f>B12 - 273.15</f>
        <v>-273.14999999999998</v>
      </c>
      <c r="V12" t="e">
        <f t="shared" si="0"/>
        <v>#DIV/0!</v>
      </c>
      <c r="W12" t="e">
        <f>(2/$S$16)-(D12*9.81*#REF!*COS(PI()/2)/K12)</f>
        <v>#REF!</v>
      </c>
      <c r="X12" t="e">
        <f t="shared" si="1"/>
        <v>#REF!</v>
      </c>
      <c r="Y12" t="s">
        <v>66</v>
      </c>
      <c r="AB12" t="e">
        <f t="shared" si="2"/>
        <v>#REF!</v>
      </c>
      <c r="AC12" t="s">
        <v>66</v>
      </c>
      <c r="AG12" t="e">
        <f t="shared" si="3"/>
        <v>#REF!</v>
      </c>
      <c r="AH12" t="s">
        <v>66</v>
      </c>
      <c r="AL12" t="e">
        <f t="shared" si="4"/>
        <v>#REF!</v>
      </c>
      <c r="AM12" t="s">
        <v>66</v>
      </c>
    </row>
    <row r="13" spans="1:39" x14ac:dyDescent="0.5">
      <c r="Q13" t="s">
        <v>76</v>
      </c>
      <c r="R13" t="s">
        <v>49</v>
      </c>
      <c r="S13">
        <f>S12/0.0254</f>
        <v>15748.031496062993</v>
      </c>
      <c r="T13" t="s">
        <v>70</v>
      </c>
    </row>
    <row r="14" spans="1:39" x14ac:dyDescent="0.5">
      <c r="Q14" t="s">
        <v>77</v>
      </c>
      <c r="R14" t="s">
        <v>78</v>
      </c>
      <c r="S14">
        <v>2</v>
      </c>
    </row>
    <row r="15" spans="1:39" x14ac:dyDescent="0.5">
      <c r="Q15" t="s">
        <v>50</v>
      </c>
      <c r="R15" t="s">
        <v>51</v>
      </c>
      <c r="S15">
        <f>S11*S14</f>
        <v>5.0000000000000002E-5</v>
      </c>
      <c r="T15" t="s">
        <v>30</v>
      </c>
    </row>
    <row r="16" spans="1:39" x14ac:dyDescent="0.5">
      <c r="Q16" t="s">
        <v>52</v>
      </c>
      <c r="R16" t="s">
        <v>53</v>
      </c>
      <c r="S16">
        <v>3.1000000000000001E-5</v>
      </c>
      <c r="T16" t="s">
        <v>30</v>
      </c>
    </row>
    <row r="17" spans="17:20" x14ac:dyDescent="0.5">
      <c r="Q17" t="s">
        <v>54</v>
      </c>
      <c r="R17" t="s">
        <v>55</v>
      </c>
      <c r="S17">
        <f>S9-(2*S15)</f>
        <v>1.065E-2</v>
      </c>
      <c r="T17" t="s">
        <v>30</v>
      </c>
    </row>
    <row r="18" spans="17:20" x14ac:dyDescent="0.5">
      <c r="Q18" t="s">
        <v>56</v>
      </c>
      <c r="R18" t="s">
        <v>57</v>
      </c>
      <c r="S18">
        <f>S10-S15</f>
        <v>5.3249999999999999E-3</v>
      </c>
      <c r="T18" t="s">
        <v>30</v>
      </c>
    </row>
    <row r="19" spans="17:20" x14ac:dyDescent="0.5">
      <c r="Q19" t="s">
        <v>58</v>
      </c>
      <c r="R19" t="s">
        <v>59</v>
      </c>
      <c r="S19">
        <f>PI()*(S10^2 - S18^2)</f>
        <v>1.6807520696705311E-6</v>
      </c>
      <c r="T19" t="s">
        <v>60</v>
      </c>
    </row>
    <row r="20" spans="17:20" x14ac:dyDescent="0.5">
      <c r="Q20" t="s">
        <v>61</v>
      </c>
      <c r="R20" t="s">
        <v>62</v>
      </c>
      <c r="S20">
        <f>1 - ((1.05*PI()*S13*$S$15)/4)</f>
        <v>0.3506550617580152</v>
      </c>
    </row>
    <row r="21" spans="17:20" x14ac:dyDescent="0.5">
      <c r="Q21" t="s">
        <v>63</v>
      </c>
      <c r="R21" t="s">
        <v>10</v>
      </c>
      <c r="S21">
        <f>((S15^2)*(S20^3))/(122*((1 - S20)^2))</f>
        <v>2.0954128177915118E-12</v>
      </c>
    </row>
    <row r="23" spans="17:20" x14ac:dyDescent="0.5">
      <c r="Q23" t="s">
        <v>65</v>
      </c>
      <c r="S23" t="e">
        <f>(S21*S19)/S7</f>
        <v>#REF!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4C03-7C31-4818-B0A1-3616EFA8E382}">
  <dimension ref="A1:A4"/>
  <sheetViews>
    <sheetView workbookViewId="0">
      <selection activeCell="F4" sqref="F4"/>
    </sheetView>
  </sheetViews>
  <sheetFormatPr defaultRowHeight="14.35" x14ac:dyDescent="0.5"/>
  <sheetData>
    <row r="1" spans="1:1" x14ac:dyDescent="0.5">
      <c r="A1" s="3" t="s">
        <v>88</v>
      </c>
    </row>
    <row r="2" spans="1:1" x14ac:dyDescent="0.5">
      <c r="A2" t="s">
        <v>89</v>
      </c>
    </row>
    <row r="3" spans="1:1" x14ac:dyDescent="0.5">
      <c r="A3" t="s">
        <v>90</v>
      </c>
    </row>
    <row r="4" spans="1:1" x14ac:dyDescent="0.5">
      <c r="A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Calculations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Gallagher</dc:creator>
  <cp:lastModifiedBy>Liam Gallagher</cp:lastModifiedBy>
  <dcterms:created xsi:type="dcterms:W3CDTF">2025-04-18T20:42:56Z</dcterms:created>
  <dcterms:modified xsi:type="dcterms:W3CDTF">2026-03-08T17:08:28Z</dcterms:modified>
</cp:coreProperties>
</file>