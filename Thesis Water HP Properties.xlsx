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ayton0-my.sharepoint.com/personal/gallagherl3_udayton_edu/Documents/"/>
    </mc:Choice>
  </mc:AlternateContent>
  <xr:revisionPtr revIDLastSave="743" documentId="8_{28F3CEEE-40E9-4F74-916E-A8F56B39EBBE}" xr6:coauthVersionLast="47" xr6:coauthVersionMax="47" xr10:uidLastSave="{F5C862C3-0BE5-4643-8D65-2CCEA52A48D7}"/>
  <bookViews>
    <workbookView xWindow="-93" yWindow="-93" windowWidth="25786" windowHeight="13866" activeTab="3" xr2:uid="{BE53CF21-5A34-4953-AE4C-13D80686374E}"/>
  </bookViews>
  <sheets>
    <sheet name="Sheet1" sheetId="1" r:id="rId1"/>
    <sheet name="Calculations" sheetId="2" r:id="rId2"/>
    <sheet name="Original properties (0 to 100C)" sheetId="3" r:id="rId3"/>
    <sheet name="Sourc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I3" i="1"/>
  <c r="I2" i="1"/>
  <c r="B3" i="1"/>
  <c r="B2" i="1"/>
  <c r="AF1" i="2"/>
  <c r="AK1" i="2"/>
  <c r="AA1" i="2"/>
  <c r="W3" i="2"/>
  <c r="W8" i="2"/>
  <c r="W9" i="2"/>
  <c r="W10" i="2"/>
  <c r="W11" i="2"/>
  <c r="W12" i="2"/>
  <c r="V8" i="2"/>
  <c r="V9" i="2"/>
  <c r="V10" i="2"/>
  <c r="V11" i="2"/>
  <c r="V12" i="2"/>
  <c r="U9" i="2"/>
  <c r="U10" i="2"/>
  <c r="U11" i="2"/>
  <c r="U12" i="2"/>
  <c r="C7" i="2"/>
  <c r="C6" i="2"/>
  <c r="C5" i="2"/>
  <c r="C4" i="2"/>
  <c r="C3" i="2"/>
  <c r="G12" i="2"/>
  <c r="G11" i="2"/>
  <c r="G10" i="2"/>
  <c r="G9" i="2"/>
  <c r="G8" i="2"/>
  <c r="H12" i="2"/>
  <c r="H11" i="2"/>
  <c r="H10" i="2"/>
  <c r="H9" i="2"/>
  <c r="H8" i="2"/>
  <c r="G5" i="1"/>
  <c r="B4" i="2"/>
  <c r="U4" i="2" s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3" i="2"/>
  <c r="U3" i="2" s="1"/>
  <c r="A3" i="2"/>
  <c r="B5" i="1"/>
  <c r="B6" i="1"/>
  <c r="B7" i="1"/>
  <c r="B8" i="1"/>
  <c r="B9" i="1"/>
  <c r="B4" i="1"/>
  <c r="K9" i="1"/>
  <c r="H9" i="1"/>
  <c r="K7" i="1"/>
  <c r="H7" i="1"/>
  <c r="K5" i="1"/>
  <c r="H5" i="1"/>
  <c r="J6" i="3"/>
  <c r="H6" i="3"/>
  <c r="G6" i="3"/>
  <c r="F6" i="3"/>
  <c r="A6" i="3"/>
  <c r="J5" i="3"/>
  <c r="H5" i="3"/>
  <c r="G5" i="3"/>
  <c r="F5" i="3"/>
  <c r="A5" i="3"/>
  <c r="J4" i="3"/>
  <c r="H4" i="3"/>
  <c r="G4" i="3"/>
  <c r="F4" i="3"/>
  <c r="A4" i="3"/>
  <c r="J3" i="3"/>
  <c r="H3" i="3"/>
  <c r="G3" i="3"/>
  <c r="F3" i="3"/>
  <c r="A3" i="3"/>
  <c r="J2" i="3"/>
  <c r="H2" i="3"/>
  <c r="G2" i="3"/>
  <c r="F2" i="3"/>
  <c r="A2" i="3"/>
  <c r="A7" i="3"/>
  <c r="B7" i="3"/>
  <c r="F7" i="3"/>
  <c r="G7" i="3"/>
  <c r="H7" i="3"/>
  <c r="I7" i="3"/>
  <c r="J7" i="3"/>
  <c r="S15" i="2"/>
  <c r="S20" i="2" s="1"/>
  <c r="S9" i="2"/>
  <c r="S10" i="2" s="1"/>
  <c r="S13" i="2"/>
  <c r="J11" i="3"/>
  <c r="I11" i="3"/>
  <c r="H11" i="3"/>
  <c r="G11" i="3"/>
  <c r="F11" i="3"/>
  <c r="B11" i="3"/>
  <c r="A11" i="3"/>
  <c r="J10" i="3"/>
  <c r="I10" i="3"/>
  <c r="H10" i="3"/>
  <c r="G10" i="3"/>
  <c r="F10" i="3"/>
  <c r="B10" i="3"/>
  <c r="A10" i="3"/>
  <c r="J9" i="3"/>
  <c r="I9" i="3"/>
  <c r="H9" i="3"/>
  <c r="G9" i="3"/>
  <c r="F9" i="3"/>
  <c r="B9" i="3"/>
  <c r="A9" i="3"/>
  <c r="J8" i="3"/>
  <c r="I8" i="3"/>
  <c r="H8" i="3"/>
  <c r="G8" i="3"/>
  <c r="F8" i="3"/>
  <c r="B8" i="3"/>
  <c r="A8" i="3"/>
  <c r="S6" i="2"/>
  <c r="S5" i="2"/>
  <c r="S4" i="2"/>
  <c r="S2" i="2"/>
  <c r="L7" i="2"/>
  <c r="K7" i="2"/>
  <c r="W7" i="2" s="1"/>
  <c r="H7" i="2"/>
  <c r="G7" i="2"/>
  <c r="U7" i="2"/>
  <c r="L6" i="2"/>
  <c r="K6" i="2"/>
  <c r="W6" i="2" s="1"/>
  <c r="I6" i="2"/>
  <c r="H6" i="2"/>
  <c r="G6" i="2"/>
  <c r="V6" i="2" s="1"/>
  <c r="U6" i="2"/>
  <c r="L5" i="2"/>
  <c r="K5" i="2"/>
  <c r="W5" i="2" s="1"/>
  <c r="I5" i="2"/>
  <c r="H5" i="2"/>
  <c r="G5" i="2"/>
  <c r="U5" i="2"/>
  <c r="L4" i="2"/>
  <c r="K4" i="2"/>
  <c r="W4" i="2" s="1"/>
  <c r="I4" i="2"/>
  <c r="H4" i="2"/>
  <c r="G4" i="2"/>
  <c r="L3" i="2"/>
  <c r="K3" i="2"/>
  <c r="I3" i="2"/>
  <c r="H3" i="2"/>
  <c r="G3" i="2"/>
  <c r="AA3" i="2" l="1"/>
  <c r="AA4" i="2"/>
  <c r="S21" i="2"/>
  <c r="AF3" i="2"/>
  <c r="AF4" i="2" s="1"/>
  <c r="AK3" i="2"/>
  <c r="AK4" i="2" s="1"/>
  <c r="V3" i="2"/>
  <c r="V7" i="2"/>
  <c r="V5" i="2"/>
  <c r="V4" i="2"/>
  <c r="S18" i="2"/>
  <c r="S19" i="2" s="1"/>
  <c r="S17" i="2"/>
  <c r="S7" i="2"/>
  <c r="AK5" i="2" l="1"/>
  <c r="AL8" i="2"/>
  <c r="AL9" i="2"/>
  <c r="AL10" i="2"/>
  <c r="AL11" i="2"/>
  <c r="AL4" i="2"/>
  <c r="AL12" i="2"/>
  <c r="AL5" i="2"/>
  <c r="AL3" i="2"/>
  <c r="AL6" i="2"/>
  <c r="AL7" i="2"/>
  <c r="AA5" i="2"/>
  <c r="AB11" i="2" s="1"/>
  <c r="AF5" i="2"/>
  <c r="AB9" i="2"/>
  <c r="S23" i="2"/>
  <c r="AB5" i="2" l="1"/>
  <c r="AG6" i="2"/>
  <c r="AG7" i="2"/>
  <c r="AG9" i="2"/>
  <c r="AG10" i="2"/>
  <c r="AG8" i="2"/>
  <c r="AG11" i="2"/>
  <c r="AG3" i="2"/>
  <c r="AG4" i="2"/>
  <c r="AG12" i="2"/>
  <c r="AG5" i="2"/>
  <c r="AB4" i="2"/>
  <c r="AB12" i="2"/>
  <c r="AB3" i="2"/>
  <c r="AB6" i="2"/>
  <c r="AB7" i="2"/>
  <c r="AB8" i="2"/>
  <c r="AB10" i="2"/>
  <c r="X6" i="2"/>
  <c r="X11" i="2"/>
  <c r="X12" i="2"/>
  <c r="X8" i="2"/>
  <c r="X9" i="2"/>
  <c r="X10" i="2"/>
  <c r="X4" i="2"/>
  <c r="X3" i="2"/>
  <c r="X5" i="2"/>
  <c r="X7" i="2"/>
</calcChain>
</file>

<file path=xl/sharedStrings.xml><?xml version="1.0" encoding="utf-8"?>
<sst xmlns="http://schemas.openxmlformats.org/spreadsheetml/2006/main" count="175" uniqueCount="94">
  <si>
    <t>Temperature</t>
  </si>
  <si>
    <t>Liquid thermal conductivity</t>
  </si>
  <si>
    <t>Vapour density</t>
  </si>
  <si>
    <t>Liquid density</t>
  </si>
  <si>
    <t>Latent heat</t>
  </si>
  <si>
    <t>Liquid viscosity</t>
  </si>
  <si>
    <t>Vapour viscosity</t>
  </si>
  <si>
    <t>Vapor pressure</t>
  </si>
  <si>
    <t>Vapour specific heat</t>
  </si>
  <si>
    <t>Liquid surface tension</t>
  </si>
  <si>
    <t>K</t>
  </si>
  <si>
    <t>J/kg</t>
  </si>
  <si>
    <t>kg/m^3</t>
  </si>
  <si>
    <t>W/(m*K)</t>
  </si>
  <si>
    <t>Pa*s</t>
  </si>
  <si>
    <t>Pa</t>
  </si>
  <si>
    <t>J/(kg*K)</t>
  </si>
  <si>
    <t>N/m</t>
  </si>
  <si>
    <t>Liquid_density</t>
  </si>
  <si>
    <t>Vapour_density</t>
  </si>
  <si>
    <t>Liquid_thermal_conductivity</t>
  </si>
  <si>
    <t>Liquid_viscosity</t>
  </si>
  <si>
    <t>Vapour_viscosity</t>
  </si>
  <si>
    <t>Vapor_pressure</t>
  </si>
  <si>
    <t>Vapour_specific_heat</t>
  </si>
  <si>
    <t>Liquid_surface_tension</t>
  </si>
  <si>
    <t>Latent_heat</t>
  </si>
  <si>
    <t>Latent heat of vaporization of water</t>
  </si>
  <si>
    <t>Heat pipe outer diameter</t>
  </si>
  <si>
    <t>OD</t>
  </si>
  <si>
    <t>m</t>
  </si>
  <si>
    <t>Heat pipe outer radius</t>
  </si>
  <si>
    <t>OR</t>
  </si>
  <si>
    <t>Heat pipe length</t>
  </si>
  <si>
    <t>L</t>
  </si>
  <si>
    <t>Evaporator length</t>
  </si>
  <si>
    <t>L_evap</t>
  </si>
  <si>
    <t>Adiabatic length</t>
  </si>
  <si>
    <t>L_ad</t>
  </si>
  <si>
    <t>Condensor length</t>
  </si>
  <si>
    <t>L_cond</t>
  </si>
  <si>
    <t>Effective HP lenth</t>
  </si>
  <si>
    <t>L_eff</t>
  </si>
  <si>
    <t>Heat pipe wall thickness</t>
  </si>
  <si>
    <t>t</t>
  </si>
  <si>
    <t>Heat pipe wall inner diameter</t>
  </si>
  <si>
    <t>ID</t>
  </si>
  <si>
    <t>Heat pipe wall inner radius</t>
  </si>
  <si>
    <t>IR</t>
  </si>
  <si>
    <t>Screen wire diameter</t>
  </si>
  <si>
    <t>d_wire</t>
  </si>
  <si>
    <t>N</t>
  </si>
  <si>
    <t>Wick thickness</t>
  </si>
  <si>
    <t>t_wick</t>
  </si>
  <si>
    <t>Effective pore radius</t>
  </si>
  <si>
    <t>r_eff</t>
  </si>
  <si>
    <t>Vapor space diameter</t>
  </si>
  <si>
    <t>D_vs</t>
  </si>
  <si>
    <t>Vapor space radius</t>
  </si>
  <si>
    <t>R_vs</t>
  </si>
  <si>
    <t>Wick cross-sectional area</t>
  </si>
  <si>
    <t>A_wick</t>
  </si>
  <si>
    <t>m^2</t>
  </si>
  <si>
    <t>Screen mesh parameter epsilon</t>
  </si>
  <si>
    <t>epsilon</t>
  </si>
  <si>
    <t>Wick permeabilitiy</t>
  </si>
  <si>
    <t>FOM</t>
  </si>
  <si>
    <t>Parameter (K*A_wick)/L_eff</t>
  </si>
  <si>
    <t>W</t>
  </si>
  <si>
    <t>Capacity</t>
  </si>
  <si>
    <t>term</t>
  </si>
  <si>
    <t>T (deg C)</t>
  </si>
  <si>
    <t>per m</t>
  </si>
  <si>
    <t>per in</t>
  </si>
  <si>
    <t>Vapor_specific_volume</t>
  </si>
  <si>
    <t>Liquid_specific_volume</t>
  </si>
  <si>
    <t>specific volumes</t>
  </si>
  <si>
    <t>m^3/kg</t>
  </si>
  <si>
    <t>Mesh #</t>
  </si>
  <si>
    <t># of layers</t>
  </si>
  <si>
    <t>n</t>
  </si>
  <si>
    <t>Mesh # (imperial)</t>
  </si>
  <si>
    <t>T_C</t>
  </si>
  <si>
    <t>C</t>
  </si>
  <si>
    <t>T</t>
  </si>
  <si>
    <t>Mesh = 400</t>
  </si>
  <si>
    <t>Mesh = 200</t>
  </si>
  <si>
    <t>Mesh = 100</t>
  </si>
  <si>
    <t>Mesh = 50</t>
  </si>
  <si>
    <t>parameter</t>
  </si>
  <si>
    <t>sources:</t>
  </si>
  <si>
    <t>Both heat pipes books</t>
  </si>
  <si>
    <t>engineering toolbox</t>
  </si>
  <si>
    <t>https://www.cambridge.org/br/files/9813/6697/5550/Appendix_B.pdf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</si>
</sst>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</a:t>
            </a:r>
            <a:r>
              <a:rPr lang="en-US" baseline="0"/>
              <a:t> C</a:t>
            </a:r>
            <a:r>
              <a:rPr lang="en-US"/>
              <a:t>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617159737587182E-2"/>
          <c:y val="0.16861061407794137"/>
          <c:w val="0.78430173258497737"/>
          <c:h val="0.71871008611099663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Calculations!$U$1</c:f>
              <c:strCache>
                <c:ptCount val="1"/>
                <c:pt idx="0">
                  <c:v>Mesh = 400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Calculations!$U$3:$U$712</c:f>
              <c:numCache>
                <c:formatCode>General</c:formatCode>
                <c:ptCount val="7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Calculations!$X$3:$X$12</c:f>
              <c:numCache>
                <c:formatCode>General</c:formatCode>
                <c:ptCount val="10"/>
                <c:pt idx="0">
                  <c:v>0.27007556968394342</c:v>
                </c:pt>
                <c:pt idx="1">
                  <c:v>0.38724408339882394</c:v>
                </c:pt>
                <c:pt idx="2">
                  <c:v>0.49448427645197873</c:v>
                </c:pt>
                <c:pt idx="3">
                  <c:v>0.59091388581806659</c:v>
                </c:pt>
                <c:pt idx="4">
                  <c:v>0.68879368578618849</c:v>
                </c:pt>
                <c:pt idx="5">
                  <c:v>0.75192696146356164</c:v>
                </c:pt>
                <c:pt idx="6">
                  <c:v>0.78363158271246591</c:v>
                </c:pt>
                <c:pt idx="7">
                  <c:v>0.78729892379923117</c:v>
                </c:pt>
                <c:pt idx="8">
                  <c:v>0.76468592651306011</c:v>
                </c:pt>
                <c:pt idx="9">
                  <c:v>0.71719141390744967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01-4D60-AC02-3B6D6F01EC64}"/>
            </c:ext>
          </c:extLst>
        </c:ser>
        <c:ser>
          <c:idx val="1"/>
          <c:order val="1"/>
          <c:tx>
            <c:strRef>
              <c:f>Calculations!$Z$1</c:f>
              <c:strCache>
                <c:ptCount val="1"/>
                <c:pt idx="0">
                  <c:v>Mesh = 200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Calculations!$U$3:$U$12</c:f>
              <c:numCache>
                <c:formatCode>General</c:formatCode>
                <c:ptCount val="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Calculations!$AB$3:$AB$12</c:f>
              <c:numCache>
                <c:formatCode>General</c:formatCode>
                <c:ptCount val="10"/>
                <c:pt idx="0">
                  <c:v>7.7169967886761155</c:v>
                </c:pt>
                <c:pt idx="1">
                  <c:v>11.064908060805674</c:v>
                </c:pt>
                <c:pt idx="2">
                  <c:v>14.129132738278988</c:v>
                </c:pt>
                <c:pt idx="3">
                  <c:v>16.884461503047426</c:v>
                </c:pt>
                <c:pt idx="4">
                  <c:v>19.681227248702221</c:v>
                </c:pt>
                <c:pt idx="5">
                  <c:v>21.485164147663646</c:v>
                </c:pt>
                <c:pt idx="6">
                  <c:v>22.391075262283547</c:v>
                </c:pt>
                <c:pt idx="7">
                  <c:v>22.495863930961232</c:v>
                </c:pt>
                <c:pt idx="8">
                  <c:v>21.849732081109217</c:v>
                </c:pt>
                <c:pt idx="9">
                  <c:v>20.492648944392528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DF-46DD-B11A-F048B629B7FD}"/>
            </c:ext>
          </c:extLst>
        </c:ser>
        <c:ser>
          <c:idx val="2"/>
          <c:order val="2"/>
          <c:tx>
            <c:strRef>
              <c:f>Calculations!$AE$1</c:f>
              <c:strCache>
                <c:ptCount val="1"/>
                <c:pt idx="0">
                  <c:v>Mesh = 100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Calculations!$U$3:$U$12</c:f>
              <c:numCache>
                <c:formatCode>General</c:formatCode>
                <c:ptCount val="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Calculations!$AG$3:$AG$12</c:f>
              <c:numCache>
                <c:formatCode>General</c:formatCode>
                <c:ptCount val="10"/>
                <c:pt idx="0">
                  <c:v>58.907980646482706</c:v>
                </c:pt>
                <c:pt idx="1">
                  <c:v>84.464385271938454</c:v>
                </c:pt>
                <c:pt idx="2">
                  <c:v>107.8552577758571</c:v>
                </c:pt>
                <c:pt idx="3">
                  <c:v>128.88816189574092</c:v>
                </c:pt>
                <c:pt idx="4">
                  <c:v>150.23737674309379</c:v>
                </c:pt>
                <c:pt idx="5">
                  <c:v>164.0077958376605</c:v>
                </c:pt>
                <c:pt idx="6">
                  <c:v>170.92310186522954</c:v>
                </c:pt>
                <c:pt idx="7">
                  <c:v>171.72301004654352</c:v>
                </c:pt>
                <c:pt idx="8">
                  <c:v>166.79073865283098</c:v>
                </c:pt>
                <c:pt idx="9">
                  <c:v>156.43139429354827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DF-46DD-B11A-F048B629B7FD}"/>
            </c:ext>
          </c:extLst>
        </c:ser>
        <c:ser>
          <c:idx val="3"/>
          <c:order val="3"/>
          <c:tx>
            <c:strRef>
              <c:f>Calculations!$AJ$1</c:f>
              <c:strCache>
                <c:ptCount val="1"/>
                <c:pt idx="0">
                  <c:v>Mesh = 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Calculations!$U$3:$U$12</c:f>
              <c:numCache>
                <c:formatCode>General</c:formatCode>
                <c:ptCount val="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Calculations!$AL$3:$AL$12</c:f>
              <c:numCache>
                <c:formatCode>General</c:formatCode>
                <c:ptCount val="10"/>
                <c:pt idx="0">
                  <c:v>310.98046386082456</c:v>
                </c:pt>
                <c:pt idx="1">
                  <c:v>445.89499458856699</c:v>
                </c:pt>
                <c:pt idx="2">
                  <c:v>569.37748883720246</c:v>
                </c:pt>
                <c:pt idx="3">
                  <c:v>680.41205847886715</c:v>
                </c:pt>
                <c:pt idx="4">
                  <c:v>793.1164605553389</c:v>
                </c:pt>
                <c:pt idx="5">
                  <c:v>865.81172646990728</c:v>
                </c:pt>
                <c:pt idx="6">
                  <c:v>902.31824142071946</c:v>
                </c:pt>
                <c:pt idx="7">
                  <c:v>906.54102778245067</c:v>
                </c:pt>
                <c:pt idx="8">
                  <c:v>880.50312885821052</c:v>
                </c:pt>
                <c:pt idx="9">
                  <c:v>825.81522954832133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DF-46DD-B11A-F048B629B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337759"/>
        <c:axId val="1060338239"/>
      </c:scatterChart>
      <c:valAx>
        <c:axId val="106033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338239"/>
        <c:crosses val="autoZero"/>
        <c:crossBetween val="midCat"/>
      </c:valAx>
      <c:valAx>
        <c:axId val="10603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337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209826</xdr:colOff>
      <xdr:row>13</xdr:row>
      <xdr:rowOff>2393</xdr:rowOff>
    </xdr:from>
    <xdr:to>
      <xdr:col>28</xdr:col>
      <xdr:colOff>279768</xdr:colOff>
      <xdr:row>33</xdr:row>
      <xdr:rowOff>62580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38CEB-1869-BDD7-08AB-358E43A06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91FD-1D1B-4E16-8083-9E2676484DAD}">
  <dimension ref="A1:M14"/>
  <sheetViews>
    <sheetView zoomScaleNormal="100" workbookViewId="0">
      <selection activeCell="L18" sqref="L18"/>
    </sheetView>
  </sheetViews>
  <sheetFormatPr defaultRowHeight="14.35" x14ac:dyDescent="0.5"/>
  <cols>
    <col min="1" max="1" width="13.41015625" customWidth="1"/>
    <col min="2" max="2" width="11.64453125" customWidth="1"/>
    <col min="3" max="3" width="16.1171875" customWidth="1"/>
    <col min="4" max="4" width="17.41015625" customWidth="1"/>
    <col min="5" max="5" width="23.3515625" customWidth="1"/>
    <col min="6" max="6" width="25.3515625" customWidth="1"/>
    <col min="7" max="7" width="16.29296875" customWidth="1"/>
    <col min="8" max="8" width="16.234375" customWidth="1"/>
    <col min="9" max="9" width="20.29296875" customWidth="1"/>
    <col min="10" max="10" width="20.41015625" customWidth="1"/>
    <col min="11" max="11" width="21.76171875" customWidth="1"/>
    <col min="12" max="12" width="23.3515625" customWidth="1"/>
    <col min="13" max="13" width="17.87890625" customWidth="1"/>
  </cols>
  <sheetData>
    <row r="1" spans="1:13" x14ac:dyDescent="0.5">
      <c r="A1" t="s">
        <v>82</v>
      </c>
      <c r="B1" t="s">
        <v>0</v>
      </c>
      <c r="C1" t="s">
        <v>26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74</v>
      </c>
      <c r="M1" t="s">
        <v>75</v>
      </c>
    </row>
    <row r="2" spans="1:13" x14ac:dyDescent="0.5">
      <c r="A2">
        <v>20</v>
      </c>
      <c r="B2">
        <f>A2+273.15</f>
        <v>293.14999999999998</v>
      </c>
      <c r="C2">
        <v>2448000</v>
      </c>
      <c r="D2">
        <v>998.2</v>
      </c>
      <c r="E2">
        <v>0.02</v>
      </c>
      <c r="F2">
        <v>0.60299999999999998</v>
      </c>
      <c r="G2">
        <v>1E-3</v>
      </c>
      <c r="H2">
        <v>9.5999999999999996E-6</v>
      </c>
      <c r="I2">
        <f>0.02*10^5</f>
        <v>2000</v>
      </c>
      <c r="J2">
        <v>1810</v>
      </c>
      <c r="K2">
        <v>7.2800000000000004E-2</v>
      </c>
      <c r="L2">
        <v>57.762</v>
      </c>
      <c r="M2">
        <v>1.0018E-3</v>
      </c>
    </row>
    <row r="3" spans="1:13" x14ac:dyDescent="0.5">
      <c r="A3">
        <v>40</v>
      </c>
      <c r="B3">
        <f>A3+273.15</f>
        <v>313.14999999999998</v>
      </c>
      <c r="C3">
        <v>2402000</v>
      </c>
      <c r="D3">
        <v>992.3</v>
      </c>
      <c r="E3">
        <v>0.05</v>
      </c>
      <c r="F3">
        <v>0.63</v>
      </c>
      <c r="G3">
        <v>6.4999999999999997E-4</v>
      </c>
      <c r="H3">
        <v>1.04E-5</v>
      </c>
      <c r="I3">
        <f>0.07*10^5</f>
        <v>7000.0000000000009</v>
      </c>
      <c r="J3">
        <v>1860</v>
      </c>
      <c r="K3">
        <v>6.9599999999999995E-2</v>
      </c>
      <c r="L3">
        <v>19.515000000000001</v>
      </c>
      <c r="M3">
        <v>1.0078299999999999E-3</v>
      </c>
    </row>
    <row r="4" spans="1:13" x14ac:dyDescent="0.5">
      <c r="A4">
        <v>50</v>
      </c>
      <c r="B4">
        <f>A4+273.15</f>
        <v>323.14999999999998</v>
      </c>
      <c r="C4">
        <v>2381900</v>
      </c>
      <c r="D4">
        <v>988.05</v>
      </c>
      <c r="E4">
        <v>8.3000000000000004E-2</v>
      </c>
      <c r="F4">
        <v>0.64059999999999995</v>
      </c>
      <c r="G4">
        <v>5.4739999999999997E-4</v>
      </c>
      <c r="H4">
        <v>1.0849999999999999E-5</v>
      </c>
      <c r="I4">
        <v>12351</v>
      </c>
      <c r="J4">
        <v>1871</v>
      </c>
      <c r="K4">
        <v>6.7900000000000002E-2</v>
      </c>
      <c r="L4">
        <v>12.0213</v>
      </c>
      <c r="M4">
        <v>1.0121100000000001E-3</v>
      </c>
    </row>
    <row r="5" spans="1:13" x14ac:dyDescent="0.5">
      <c r="A5">
        <v>60</v>
      </c>
      <c r="B5">
        <f t="shared" ref="B5:B15" si="0">A5+273.15</f>
        <v>333.15</v>
      </c>
      <c r="C5">
        <v>2357600</v>
      </c>
      <c r="D5">
        <v>983.19</v>
      </c>
      <c r="E5">
        <v>0.13</v>
      </c>
      <c r="F5">
        <v>0.65090999999999999</v>
      </c>
      <c r="G5">
        <f>0.0004656</f>
        <v>4.6559999999999999E-4</v>
      </c>
      <c r="H5">
        <f>1.12*10^-5</f>
        <v>1.1200000000000001E-5</v>
      </c>
      <c r="I5">
        <v>19946</v>
      </c>
      <c r="J5">
        <v>1875</v>
      </c>
      <c r="K5">
        <f>6.62*10^-2</f>
        <v>6.6200000000000009E-2</v>
      </c>
      <c r="L5">
        <v>7.6639999999999997</v>
      </c>
      <c r="M5">
        <v>1.0171100000000001E-3</v>
      </c>
    </row>
    <row r="6" spans="1:13" x14ac:dyDescent="0.5">
      <c r="A6">
        <v>70</v>
      </c>
      <c r="B6">
        <f t="shared" si="0"/>
        <v>343.15</v>
      </c>
      <c r="C6">
        <v>2333000</v>
      </c>
      <c r="D6">
        <v>977.74</v>
      </c>
      <c r="E6">
        <v>0.2</v>
      </c>
      <c r="F6">
        <v>0.65969</v>
      </c>
      <c r="G6">
        <v>4.0240000000000002E-4</v>
      </c>
      <c r="H6">
        <v>1.155E-5</v>
      </c>
      <c r="I6">
        <v>31202</v>
      </c>
      <c r="J6">
        <v>1878</v>
      </c>
      <c r="K6">
        <v>6.4399999999999999E-2</v>
      </c>
      <c r="L6">
        <v>5.0374999999999996</v>
      </c>
      <c r="M6">
        <v>1.02275E-3</v>
      </c>
    </row>
    <row r="7" spans="1:13" x14ac:dyDescent="0.5">
      <c r="A7">
        <v>80</v>
      </c>
      <c r="B7">
        <f t="shared" si="0"/>
        <v>353.15</v>
      </c>
      <c r="C7">
        <v>2308000</v>
      </c>
      <c r="D7">
        <v>971.76</v>
      </c>
      <c r="E7">
        <v>0.28999999999999998</v>
      </c>
      <c r="F7">
        <v>0.66701999999999995</v>
      </c>
      <c r="G7">
        <v>3.5369999999999998E-4</v>
      </c>
      <c r="H7">
        <f>1.19*10^-5</f>
        <v>1.1900000000000001E-5</v>
      </c>
      <c r="I7">
        <v>47415</v>
      </c>
      <c r="J7">
        <v>1880</v>
      </c>
      <c r="K7">
        <f>6.26*10^-2</f>
        <v>6.2600000000000003E-2</v>
      </c>
      <c r="L7">
        <v>3.4039000000000001</v>
      </c>
      <c r="M7">
        <v>1.0290200000000001E-3</v>
      </c>
    </row>
    <row r="8" spans="1:13" x14ac:dyDescent="0.5">
      <c r="A8">
        <v>90</v>
      </c>
      <c r="B8">
        <f t="shared" si="0"/>
        <v>363.15</v>
      </c>
      <c r="C8">
        <v>2282500</v>
      </c>
      <c r="D8">
        <v>965.3</v>
      </c>
      <c r="E8">
        <v>0.42</v>
      </c>
      <c r="F8">
        <v>0.67288000000000003</v>
      </c>
      <c r="G8">
        <v>3.1500000000000001E-4</v>
      </c>
      <c r="H8">
        <v>1.2300000000000001E-5</v>
      </c>
      <c r="I8">
        <v>70181</v>
      </c>
      <c r="J8">
        <v>1885</v>
      </c>
      <c r="K8">
        <v>6.08E-2</v>
      </c>
      <c r="L8">
        <v>2.3582000000000001</v>
      </c>
      <c r="M8">
        <v>1.0359200000000001E-3</v>
      </c>
    </row>
    <row r="9" spans="1:13" x14ac:dyDescent="0.5">
      <c r="A9">
        <v>100</v>
      </c>
      <c r="B9">
        <f t="shared" si="0"/>
        <v>373.15</v>
      </c>
      <c r="C9">
        <v>2258000</v>
      </c>
      <c r="D9">
        <v>958.37</v>
      </c>
      <c r="E9">
        <v>0.59</v>
      </c>
      <c r="F9">
        <v>0.67900000000000005</v>
      </c>
      <c r="G9">
        <v>2.8140000000000001E-4</v>
      </c>
      <c r="H9">
        <f>1.27*10^-5</f>
        <v>1.27E-5</v>
      </c>
      <c r="I9">
        <v>101421</v>
      </c>
      <c r="J9">
        <v>1890</v>
      </c>
      <c r="K9">
        <f>5.89*10^-2</f>
        <v>5.8900000000000001E-2</v>
      </c>
      <c r="L9">
        <v>1.6712</v>
      </c>
      <c r="M9">
        <v>1.0434699999999999E-3</v>
      </c>
    </row>
    <row r="10" spans="1:13" x14ac:dyDescent="0.5">
      <c r="A10">
        <v>120</v>
      </c>
      <c r="B10">
        <f>A10+273.15</f>
        <v>393.15</v>
      </c>
      <c r="C10">
        <v>2202900</v>
      </c>
      <c r="D10">
        <v>943.39</v>
      </c>
      <c r="E10">
        <v>1.121</v>
      </c>
      <c r="F10">
        <v>0.68500000000000005</v>
      </c>
      <c r="G10">
        <v>2.3000000000000001E-4</v>
      </c>
      <c r="H10">
        <v>1.2799999999999999E-5</v>
      </c>
      <c r="I10">
        <v>198540</v>
      </c>
      <c r="J10">
        <v>2124</v>
      </c>
      <c r="K10">
        <v>5.4960000000000002E-2</v>
      </c>
      <c r="L10">
        <v>0.89136000000000004</v>
      </c>
      <c r="M10">
        <v>1.06087E-3</v>
      </c>
    </row>
    <row r="11" spans="1:13" x14ac:dyDescent="0.5">
      <c r="A11">
        <v>140</v>
      </c>
      <c r="B11">
        <f>A11+273.15</f>
        <v>413.15</v>
      </c>
      <c r="C11">
        <v>2144900</v>
      </c>
      <c r="D11">
        <v>925.93</v>
      </c>
      <c r="E11">
        <v>1.9656</v>
      </c>
      <c r="F11">
        <v>687</v>
      </c>
      <c r="G11">
        <v>1.95E-4</v>
      </c>
      <c r="H11">
        <v>1.3499999999999999E-5</v>
      </c>
      <c r="I11">
        <v>361360</v>
      </c>
      <c r="J11">
        <v>2245</v>
      </c>
      <c r="K11">
        <v>5.0790000000000002E-2</v>
      </c>
      <c r="L11">
        <v>0.50849999999999995</v>
      </c>
      <c r="M11">
        <v>1.0809999999999999E-3</v>
      </c>
    </row>
    <row r="12" spans="1:13" x14ac:dyDescent="0.5">
      <c r="A12">
        <v>160</v>
      </c>
      <c r="B12">
        <f>A12+273.15</f>
        <v>433.15</v>
      </c>
      <c r="C12">
        <v>2082200</v>
      </c>
      <c r="D12">
        <v>907.44</v>
      </c>
      <c r="E12">
        <v>3.2589000000000001</v>
      </c>
      <c r="F12">
        <v>0.68400000000000005</v>
      </c>
      <c r="G12">
        <v>1.6899999999999999E-4</v>
      </c>
      <c r="H12">
        <v>1.42E-5</v>
      </c>
      <c r="I12">
        <v>618040</v>
      </c>
      <c r="J12">
        <v>2406</v>
      </c>
      <c r="K12">
        <v>4.6510000000000003E-2</v>
      </c>
      <c r="L12">
        <v>0.30680000000000002</v>
      </c>
      <c r="M12">
        <v>1.1037E-3</v>
      </c>
    </row>
    <row r="13" spans="1:13" x14ac:dyDescent="0.5">
      <c r="A13">
        <v>180</v>
      </c>
      <c r="B13">
        <f>A13+273.15</f>
        <v>453.15</v>
      </c>
      <c r="C13">
        <v>2014000</v>
      </c>
      <c r="D13">
        <v>887.31</v>
      </c>
      <c r="E13">
        <v>5.1597</v>
      </c>
      <c r="F13">
        <v>0.67600000000000005</v>
      </c>
      <c r="G13">
        <v>1.493E-4</v>
      </c>
      <c r="H13">
        <v>1.49E-5</v>
      </c>
      <c r="I13">
        <v>1002700</v>
      </c>
      <c r="J13">
        <v>2615</v>
      </c>
      <c r="K13">
        <v>4.2189999999999998E-2</v>
      </c>
      <c r="L13">
        <v>0.19384999999999999</v>
      </c>
      <c r="M13">
        <v>1.1272999999999999E-3</v>
      </c>
    </row>
    <row r="14" spans="1:13" x14ac:dyDescent="0.5">
      <c r="A14">
        <v>200</v>
      </c>
      <c r="B14">
        <f>A14+273.15</f>
        <v>473.15</v>
      </c>
      <c r="C14">
        <v>1939000</v>
      </c>
      <c r="D14">
        <v>865.05</v>
      </c>
      <c r="E14">
        <v>7.8653000000000004</v>
      </c>
      <c r="F14">
        <v>0.66400000000000003</v>
      </c>
      <c r="G14">
        <v>1.338E-4</v>
      </c>
      <c r="H14">
        <v>1.56E-5</v>
      </c>
      <c r="I14">
        <v>1555100</v>
      </c>
      <c r="J14">
        <v>2883</v>
      </c>
      <c r="K14">
        <v>3.7769999999999998E-2</v>
      </c>
      <c r="L14">
        <v>0.10428999999999999</v>
      </c>
      <c r="M14">
        <v>1.1547E-3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E0BB-2029-4383-9362-BBDAAE5DBEED}">
  <dimension ref="A1:AM23"/>
  <sheetViews>
    <sheetView zoomScale="115" zoomScaleNormal="115" workbookViewId="0">
      <selection activeCell="I8" sqref="I8"/>
    </sheetView>
  </sheetViews>
  <sheetFormatPr defaultRowHeight="14.35" x14ac:dyDescent="0.5"/>
  <cols>
    <col min="1" max="1" width="14.05859375" customWidth="1"/>
    <col min="2" max="2" width="13.3515625" customWidth="1"/>
    <col min="3" max="3" width="16.9375" customWidth="1"/>
    <col min="4" max="4" width="18.3515625" customWidth="1"/>
    <col min="5" max="5" width="16.29296875" customWidth="1"/>
    <col min="6" max="6" width="17" customWidth="1"/>
    <col min="7" max="7" width="15.5859375" customWidth="1"/>
    <col min="8" max="9" width="18.703125" customWidth="1"/>
    <col min="10" max="10" width="17.87890625" customWidth="1"/>
    <col min="11" max="11" width="29.17578125" customWidth="1"/>
    <col min="12" max="12" width="4" customWidth="1"/>
    <col min="13" max="13" width="9.05859375" customWidth="1"/>
    <col min="14" max="14" width="29.52734375" customWidth="1"/>
    <col min="16" max="16" width="15.3515625" customWidth="1"/>
    <col min="17" max="17" width="29.234375" customWidth="1"/>
    <col min="19" max="19" width="14.05859375" customWidth="1"/>
    <col min="20" max="20" width="6.9375" customWidth="1"/>
    <col min="21" max="21" width="8.234375" customWidth="1"/>
    <col min="24" max="24" width="14.64453125" customWidth="1"/>
    <col min="26" max="26" width="11.76171875" customWidth="1"/>
    <col min="27" max="27" width="11.76171875" bestFit="1" customWidth="1"/>
    <col min="32" max="32" width="11.76171875" bestFit="1" customWidth="1"/>
    <col min="37" max="37" width="11.76171875" bestFit="1" customWidth="1"/>
  </cols>
  <sheetData>
    <row r="1" spans="1:39" x14ac:dyDescent="0.5">
      <c r="A1" s="1" t="s">
        <v>84</v>
      </c>
      <c r="B1" s="1" t="s">
        <v>0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27</v>
      </c>
      <c r="M1" s="3" t="s">
        <v>76</v>
      </c>
      <c r="Q1" t="s">
        <v>28</v>
      </c>
      <c r="R1" t="s">
        <v>29</v>
      </c>
      <c r="S1">
        <v>1.2749999999999999E-2</v>
      </c>
      <c r="T1" t="s">
        <v>30</v>
      </c>
      <c r="U1" s="4" t="s">
        <v>85</v>
      </c>
      <c r="Z1" s="4" t="s">
        <v>86</v>
      </c>
      <c r="AA1" s="4">
        <f>200/0.0254</f>
        <v>7874.0157480314965</v>
      </c>
      <c r="AE1" s="4" t="s">
        <v>87</v>
      </c>
      <c r="AF1" s="4">
        <f>100/0.0254</f>
        <v>3937.0078740157483</v>
      </c>
      <c r="AG1" s="4"/>
      <c r="AH1" s="4"/>
      <c r="AI1" s="4"/>
      <c r="AJ1" s="4" t="s">
        <v>88</v>
      </c>
      <c r="AK1" s="4">
        <f>50/0.0254</f>
        <v>1968.5039370078741</v>
      </c>
    </row>
    <row r="2" spans="1:39" x14ac:dyDescent="0.5">
      <c r="A2" s="1" t="s">
        <v>83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11</v>
      </c>
      <c r="M2" s="3" t="s">
        <v>77</v>
      </c>
      <c r="Q2" t="s">
        <v>31</v>
      </c>
      <c r="R2" t="s">
        <v>32</v>
      </c>
      <c r="S2">
        <f>S1/2</f>
        <v>6.3749999999999996E-3</v>
      </c>
      <c r="T2" t="s">
        <v>30</v>
      </c>
      <c r="U2" t="s">
        <v>71</v>
      </c>
      <c r="V2" t="s">
        <v>66</v>
      </c>
      <c r="W2" t="s">
        <v>70</v>
      </c>
      <c r="X2" t="s">
        <v>69</v>
      </c>
      <c r="AB2" t="s">
        <v>69</v>
      </c>
      <c r="AG2" t="s">
        <v>69</v>
      </c>
      <c r="AL2" t="s">
        <v>69</v>
      </c>
    </row>
    <row r="3" spans="1:39" x14ac:dyDescent="0.5">
      <c r="A3">
        <f>20</f>
        <v>20</v>
      </c>
      <c r="B3">
        <f>A3+273.15</f>
        <v>293.14999999999998</v>
      </c>
      <c r="C3">
        <f>2453.5*1000</f>
        <v>2453500</v>
      </c>
      <c r="D3">
        <v>998.2</v>
      </c>
      <c r="E3">
        <v>0.02</v>
      </c>
      <c r="F3">
        <v>0.60299999999999998</v>
      </c>
      <c r="G3">
        <f>1*10^-3</f>
        <v>1E-3</v>
      </c>
      <c r="H3">
        <f>0.96*10^-5</f>
        <v>9.6000000000000013E-6</v>
      </c>
      <c r="I3">
        <f>0.02*10^5</f>
        <v>2000</v>
      </c>
      <c r="J3">
        <v>1810</v>
      </c>
      <c r="K3">
        <f>7.28*10^-2</f>
        <v>7.2800000000000004E-2</v>
      </c>
      <c r="L3">
        <f>2453.5*1000</f>
        <v>2453500</v>
      </c>
      <c r="Q3" t="s">
        <v>33</v>
      </c>
      <c r="R3" t="s">
        <v>34</v>
      </c>
      <c r="S3">
        <v>0.2</v>
      </c>
      <c r="T3" t="s">
        <v>30</v>
      </c>
      <c r="U3">
        <f>B3 - 273.15</f>
        <v>20</v>
      </c>
      <c r="V3">
        <f t="shared" ref="V3:V12" si="0">(K3*D3*C3)/G3</f>
        <v>178293293360.00003</v>
      </c>
      <c r="W3">
        <f>(2/$S$16)-($D3*9.81*$S$3*COS(PI()/2)/$K3)</f>
        <v>64516.129032258061</v>
      </c>
      <c r="X3">
        <f t="shared" ref="X3:X12" si="1">S$23*V3*W3</f>
        <v>0.27007556968394342</v>
      </c>
      <c r="Y3" t="s">
        <v>68</v>
      </c>
      <c r="Z3" t="s">
        <v>64</v>
      </c>
      <c r="AA3">
        <f>1 - ((1.05*PI()*AA$1*$S$15)/4)</f>
        <v>0.67532753087900765</v>
      </c>
      <c r="AB3">
        <f>$AA$5*$V3*$W3</f>
        <v>7.7169967886761155</v>
      </c>
      <c r="AC3" t="s">
        <v>68</v>
      </c>
      <c r="AE3" t="s">
        <v>64</v>
      </c>
      <c r="AF3">
        <f>1 - ((1.05*PI()*AF$1*$S$15)/4)</f>
        <v>0.83766376543950383</v>
      </c>
      <c r="AG3">
        <f>$AF$5*$V3*$W3</f>
        <v>58.907980646482706</v>
      </c>
      <c r="AH3" t="s">
        <v>68</v>
      </c>
      <c r="AJ3" t="s">
        <v>64</v>
      </c>
      <c r="AK3">
        <f>1 - ((1.05*PI()*AK$1*$S$15)/4)</f>
        <v>0.91883188271975191</v>
      </c>
      <c r="AL3">
        <f>$AK$5*$V3*$W3</f>
        <v>310.98046386082456</v>
      </c>
      <c r="AM3" t="s">
        <v>68</v>
      </c>
    </row>
    <row r="4" spans="1:39" x14ac:dyDescent="0.5">
      <c r="A4">
        <v>40</v>
      </c>
      <c r="B4">
        <f t="shared" ref="B4:B17" si="2">A4+273.15</f>
        <v>313.14999999999998</v>
      </c>
      <c r="C4">
        <f>2406*1000</f>
        <v>2406000</v>
      </c>
      <c r="D4">
        <v>992.3</v>
      </c>
      <c r="E4">
        <v>0.05</v>
      </c>
      <c r="F4">
        <v>0.63</v>
      </c>
      <c r="G4">
        <f>0.65*10^-3</f>
        <v>6.5000000000000008E-4</v>
      </c>
      <c r="H4">
        <f>1.04*10^-5</f>
        <v>1.04E-5</v>
      </c>
      <c r="I4">
        <f>0.07*10^5</f>
        <v>7000.0000000000009</v>
      </c>
      <c r="J4">
        <v>1890</v>
      </c>
      <c r="K4">
        <f>6.96*10^-2</f>
        <v>6.9599999999999995E-2</v>
      </c>
      <c r="L4">
        <f>2406*1000</f>
        <v>2406000</v>
      </c>
      <c r="Q4" t="s">
        <v>35</v>
      </c>
      <c r="R4" t="s">
        <v>36</v>
      </c>
      <c r="S4">
        <f>S3/4</f>
        <v>0.05</v>
      </c>
      <c r="T4" t="s">
        <v>30</v>
      </c>
      <c r="U4">
        <f>B4 - 273.15</f>
        <v>40</v>
      </c>
      <c r="V4">
        <f t="shared" si="0"/>
        <v>255643348430.7692</v>
      </c>
      <c r="W4">
        <f t="shared" ref="W4:W12" si="3">(2/$S$16)-(D4*9.81*$S$3*COS(PI()/2)/K4)</f>
        <v>64516.129032258061</v>
      </c>
      <c r="X4">
        <f t="shared" si="1"/>
        <v>0.38724408339882394</v>
      </c>
      <c r="Y4" t="s">
        <v>68</v>
      </c>
      <c r="Z4" t="s">
        <v>10</v>
      </c>
      <c r="AA4">
        <f>(($S$15^2)*(AA$3^3))/(122*((1 - AA$3)^2))</f>
        <v>5.9873219946443862E-11</v>
      </c>
      <c r="AB4">
        <f t="shared" ref="AB4:AB12" si="4">$AA$5*$V4*$W4</f>
        <v>11.064908060805674</v>
      </c>
      <c r="AC4" t="s">
        <v>68</v>
      </c>
      <c r="AE4" t="s">
        <v>10</v>
      </c>
      <c r="AF4">
        <f>(($S$15^2)*(AF$3^3))/(122*((1 - AF$3)^2))</f>
        <v>4.5704444078857665E-10</v>
      </c>
      <c r="AG4">
        <f t="shared" ref="AG4:AG12" si="5">$AF$5*$V4*$W4</f>
        <v>84.464385271938454</v>
      </c>
      <c r="AH4" t="s">
        <v>68</v>
      </c>
      <c r="AJ4" t="s">
        <v>10</v>
      </c>
      <c r="AK4">
        <f>(($S$15^2)*(AK$3^3))/(122*((1 - AK$3)^2))</f>
        <v>2.41277821174013E-9</v>
      </c>
      <c r="AL4">
        <f t="shared" ref="AL4:AL12" si="6">$AK$5*$V4*$W4</f>
        <v>445.89499458856699</v>
      </c>
      <c r="AM4" t="s">
        <v>68</v>
      </c>
    </row>
    <row r="5" spans="1:39" x14ac:dyDescent="0.5">
      <c r="A5">
        <v>60</v>
      </c>
      <c r="B5">
        <f t="shared" si="2"/>
        <v>333.15</v>
      </c>
      <c r="C5">
        <f>2357.7*1000</f>
        <v>2357700</v>
      </c>
      <c r="D5">
        <v>983</v>
      </c>
      <c r="E5">
        <v>0.13</v>
      </c>
      <c r="F5">
        <v>0.64900000000000002</v>
      </c>
      <c r="G5">
        <f>0.47*10^-3</f>
        <v>4.6999999999999999E-4</v>
      </c>
      <c r="H5">
        <f>1.12*10^-5</f>
        <v>1.1200000000000001E-5</v>
      </c>
      <c r="I5">
        <f>0.2*10^5</f>
        <v>20000</v>
      </c>
      <c r="J5">
        <v>1910</v>
      </c>
      <c r="K5">
        <f>6.62*10^-2</f>
        <v>6.6200000000000009E-2</v>
      </c>
      <c r="L5">
        <f>2357.7*1000</f>
        <v>2357700</v>
      </c>
      <c r="Q5" t="s">
        <v>37</v>
      </c>
      <c r="R5" t="s">
        <v>38</v>
      </c>
      <c r="S5">
        <f>S3/2</f>
        <v>0.1</v>
      </c>
      <c r="T5" t="s">
        <v>30</v>
      </c>
      <c r="U5">
        <f>B5 - 273.15</f>
        <v>60</v>
      </c>
      <c r="V5">
        <f t="shared" si="0"/>
        <v>326439115787.23407</v>
      </c>
      <c r="W5">
        <f t="shared" si="3"/>
        <v>64516.129032258061</v>
      </c>
      <c r="X5">
        <f t="shared" si="1"/>
        <v>0.49448427645197873</v>
      </c>
      <c r="Y5" t="s">
        <v>68</v>
      </c>
      <c r="Z5" t="s">
        <v>89</v>
      </c>
      <c r="AA5">
        <f>(AA4*$S$19)/$S$7</f>
        <v>6.7088025561882965E-16</v>
      </c>
      <c r="AB5">
        <f t="shared" si="4"/>
        <v>14.129132738278988</v>
      </c>
      <c r="AC5" t="s">
        <v>68</v>
      </c>
      <c r="AE5" t="s">
        <v>89</v>
      </c>
      <c r="AF5">
        <f>(AF4*$S$19)/$S$7</f>
        <v>5.1211892652454052E-15</v>
      </c>
      <c r="AG5">
        <f t="shared" si="5"/>
        <v>107.8552577758571</v>
      </c>
      <c r="AH5" t="s">
        <v>68</v>
      </c>
      <c r="AJ5" t="s">
        <v>89</v>
      </c>
      <c r="AK5">
        <f>(AK4*$S$19)/$S$7</f>
        <v>2.7035213153587913E-14</v>
      </c>
      <c r="AL5">
        <f t="shared" si="6"/>
        <v>569.37748883720246</v>
      </c>
      <c r="AM5" t="s">
        <v>68</v>
      </c>
    </row>
    <row r="6" spans="1:39" x14ac:dyDescent="0.5">
      <c r="A6">
        <v>80</v>
      </c>
      <c r="B6">
        <f t="shared" si="2"/>
        <v>353.15</v>
      </c>
      <c r="C6">
        <f>2308*1000</f>
        <v>2308000</v>
      </c>
      <c r="D6">
        <v>972</v>
      </c>
      <c r="E6">
        <v>0.28999999999999998</v>
      </c>
      <c r="F6">
        <v>0.66800000000000004</v>
      </c>
      <c r="G6">
        <f>0.36*10^-3</f>
        <v>3.5999999999999997E-4</v>
      </c>
      <c r="H6">
        <f>1.19*10^-5</f>
        <v>1.1900000000000001E-5</v>
      </c>
      <c r="I6">
        <f>0.47*10^5</f>
        <v>47000</v>
      </c>
      <c r="J6">
        <v>1950</v>
      </c>
      <c r="K6">
        <f>6.26*10^-2</f>
        <v>6.2600000000000003E-2</v>
      </c>
      <c r="L6">
        <f>2308*1000</f>
        <v>2308000</v>
      </c>
      <c r="Q6" t="s">
        <v>39</v>
      </c>
      <c r="R6" t="s">
        <v>40</v>
      </c>
      <c r="S6">
        <f>S3/4</f>
        <v>0.05</v>
      </c>
      <c r="T6" t="s">
        <v>30</v>
      </c>
      <c r="U6">
        <f>B6 - 273.15</f>
        <v>80</v>
      </c>
      <c r="V6">
        <f t="shared" si="0"/>
        <v>390098160000</v>
      </c>
      <c r="W6">
        <f t="shared" si="3"/>
        <v>64516.129032258061</v>
      </c>
      <c r="X6">
        <f t="shared" si="1"/>
        <v>0.59091388581806659</v>
      </c>
      <c r="Y6" t="s">
        <v>68</v>
      </c>
      <c r="AB6">
        <f t="shared" si="4"/>
        <v>16.884461503047426</v>
      </c>
      <c r="AC6" t="s">
        <v>68</v>
      </c>
      <c r="AG6">
        <f t="shared" si="5"/>
        <v>128.88816189574092</v>
      </c>
      <c r="AH6" t="s">
        <v>68</v>
      </c>
      <c r="AL6">
        <f t="shared" si="6"/>
        <v>680.41205847886715</v>
      </c>
      <c r="AM6" t="s">
        <v>68</v>
      </c>
    </row>
    <row r="7" spans="1:39" x14ac:dyDescent="0.5">
      <c r="A7">
        <v>100</v>
      </c>
      <c r="B7">
        <f t="shared" si="2"/>
        <v>373.15</v>
      </c>
      <c r="C7">
        <f>2256.4*1000</f>
        <v>2256400</v>
      </c>
      <c r="D7">
        <v>958</v>
      </c>
      <c r="E7">
        <v>0.6</v>
      </c>
      <c r="F7">
        <v>0.68</v>
      </c>
      <c r="G7">
        <f>0.28*10^-3</f>
        <v>2.8000000000000003E-4</v>
      </c>
      <c r="H7">
        <f>1.27*10^-5</f>
        <v>1.27E-5</v>
      </c>
      <c r="I7">
        <v>101325</v>
      </c>
      <c r="J7">
        <v>2010</v>
      </c>
      <c r="K7">
        <f>5.89*10^-2</f>
        <v>5.8900000000000001E-2</v>
      </c>
      <c r="L7">
        <f>2256.4*1000</f>
        <v>2256400</v>
      </c>
      <c r="Q7" t="s">
        <v>41</v>
      </c>
      <c r="R7" t="s">
        <v>42</v>
      </c>
      <c r="S7">
        <f>S5 + (S4/2) + (S6/2)</f>
        <v>0.15</v>
      </c>
      <c r="T7" t="s">
        <v>30</v>
      </c>
      <c r="U7">
        <f>B7 - 273.15</f>
        <v>100</v>
      </c>
      <c r="V7">
        <f t="shared" si="0"/>
        <v>454714563142.85712</v>
      </c>
      <c r="W7">
        <f t="shared" si="3"/>
        <v>64516.129032258061</v>
      </c>
      <c r="X7">
        <f t="shared" si="1"/>
        <v>0.68879368578618849</v>
      </c>
      <c r="Y7" t="s">
        <v>68</v>
      </c>
      <c r="AB7">
        <f t="shared" si="4"/>
        <v>19.681227248702221</v>
      </c>
      <c r="AC7" t="s">
        <v>68</v>
      </c>
      <c r="AG7">
        <f t="shared" si="5"/>
        <v>150.23737674309379</v>
      </c>
      <c r="AH7" t="s">
        <v>68</v>
      </c>
      <c r="AL7">
        <f t="shared" si="6"/>
        <v>793.1164605553389</v>
      </c>
      <c r="AM7" t="s">
        <v>68</v>
      </c>
    </row>
    <row r="8" spans="1:39" x14ac:dyDescent="0.5">
      <c r="A8">
        <v>120</v>
      </c>
      <c r="B8">
        <f t="shared" si="2"/>
        <v>393.15</v>
      </c>
      <c r="C8">
        <v>2202900</v>
      </c>
      <c r="D8">
        <v>943</v>
      </c>
      <c r="E8">
        <v>1.121</v>
      </c>
      <c r="F8">
        <v>0.68500000000000005</v>
      </c>
      <c r="G8">
        <f>2300*(10^-7)</f>
        <v>2.2999999999999998E-4</v>
      </c>
      <c r="H8">
        <f>128*(10^-7)</f>
        <v>1.2799999999999999E-5</v>
      </c>
      <c r="I8">
        <v>198540</v>
      </c>
      <c r="J8">
        <v>2124</v>
      </c>
      <c r="K8">
        <v>5.4960000000000002E-2</v>
      </c>
      <c r="L8">
        <v>2202900</v>
      </c>
      <c r="Q8" t="s">
        <v>43</v>
      </c>
      <c r="R8" t="s">
        <v>44</v>
      </c>
      <c r="S8">
        <v>1E-3</v>
      </c>
      <c r="T8" t="s">
        <v>30</v>
      </c>
      <c r="U8">
        <v>120</v>
      </c>
      <c r="V8">
        <f t="shared" si="0"/>
        <v>496392674400.00006</v>
      </c>
      <c r="W8">
        <f t="shared" si="3"/>
        <v>64516.129032258061</v>
      </c>
      <c r="X8">
        <f t="shared" si="1"/>
        <v>0.75192696146356164</v>
      </c>
      <c r="Y8" t="s">
        <v>68</v>
      </c>
      <c r="AB8">
        <f t="shared" si="4"/>
        <v>21.485164147663646</v>
      </c>
      <c r="AC8" t="s">
        <v>68</v>
      </c>
      <c r="AG8">
        <f t="shared" si="5"/>
        <v>164.0077958376605</v>
      </c>
      <c r="AH8" t="s">
        <v>68</v>
      </c>
      <c r="AL8">
        <f t="shared" si="6"/>
        <v>865.81172646990728</v>
      </c>
      <c r="AM8" t="s">
        <v>68</v>
      </c>
    </row>
    <row r="9" spans="1:39" x14ac:dyDescent="0.5">
      <c r="A9">
        <v>140</v>
      </c>
      <c r="B9">
        <f t="shared" si="2"/>
        <v>413.15</v>
      </c>
      <c r="C9">
        <v>2144900</v>
      </c>
      <c r="D9">
        <v>926</v>
      </c>
      <c r="E9">
        <v>1.9656</v>
      </c>
      <c r="F9">
        <v>0.68700000000000006</v>
      </c>
      <c r="G9">
        <f>1950*(10^-7)</f>
        <v>1.95E-4</v>
      </c>
      <c r="H9">
        <f>135*(10^-7)</f>
        <v>1.3499999999999999E-5</v>
      </c>
      <c r="I9">
        <v>361360</v>
      </c>
      <c r="J9">
        <v>2245</v>
      </c>
      <c r="K9">
        <v>5.0790000000000002E-2</v>
      </c>
      <c r="L9">
        <v>2144900</v>
      </c>
      <c r="Q9" t="s">
        <v>45</v>
      </c>
      <c r="R9" t="s">
        <v>46</v>
      </c>
      <c r="S9">
        <f>S1-(2*S8)</f>
        <v>1.0749999999999999E-2</v>
      </c>
      <c r="T9" t="s">
        <v>30</v>
      </c>
      <c r="U9">
        <f>B9 - 273.15</f>
        <v>140</v>
      </c>
      <c r="V9">
        <f t="shared" si="0"/>
        <v>517322821261.53845</v>
      </c>
      <c r="W9">
        <f t="shared" si="3"/>
        <v>64516.129032258061</v>
      </c>
      <c r="X9">
        <f t="shared" si="1"/>
        <v>0.78363158271246591</v>
      </c>
      <c r="Y9" t="s">
        <v>68</v>
      </c>
      <c r="AB9">
        <f t="shared" si="4"/>
        <v>22.391075262283547</v>
      </c>
      <c r="AC9" t="s">
        <v>68</v>
      </c>
      <c r="AG9">
        <f t="shared" si="5"/>
        <v>170.92310186522954</v>
      </c>
      <c r="AH9" t="s">
        <v>68</v>
      </c>
      <c r="AL9">
        <f t="shared" si="6"/>
        <v>902.31824142071946</v>
      </c>
      <c r="AM9" t="s">
        <v>68</v>
      </c>
    </row>
    <row r="10" spans="1:39" x14ac:dyDescent="0.5">
      <c r="A10">
        <v>160</v>
      </c>
      <c r="B10">
        <f t="shared" si="2"/>
        <v>433.15</v>
      </c>
      <c r="C10">
        <v>2082200</v>
      </c>
      <c r="D10">
        <v>907</v>
      </c>
      <c r="E10">
        <v>3.2589000000000001</v>
      </c>
      <c r="F10">
        <v>0.68400000000000005</v>
      </c>
      <c r="G10">
        <f>1690*(10^-7)</f>
        <v>1.6899999999999999E-4</v>
      </c>
      <c r="H10">
        <f>142*(10^-7)</f>
        <v>1.42E-5</v>
      </c>
      <c r="I10">
        <v>618040</v>
      </c>
      <c r="J10">
        <v>2406</v>
      </c>
      <c r="K10">
        <v>4.6510000000000003E-2</v>
      </c>
      <c r="L10">
        <v>2082200</v>
      </c>
      <c r="Q10" t="s">
        <v>47</v>
      </c>
      <c r="R10" t="s">
        <v>48</v>
      </c>
      <c r="S10">
        <f>S9/2</f>
        <v>5.3749999999999996E-3</v>
      </c>
      <c r="T10" t="s">
        <v>30</v>
      </c>
      <c r="U10">
        <f>B10 - 273.15</f>
        <v>160</v>
      </c>
      <c r="V10">
        <f t="shared" si="0"/>
        <v>519743855940.82843</v>
      </c>
      <c r="W10">
        <f t="shared" si="3"/>
        <v>64516.129032258061</v>
      </c>
      <c r="X10">
        <f t="shared" si="1"/>
        <v>0.78729892379923117</v>
      </c>
      <c r="Y10" t="s">
        <v>68</v>
      </c>
      <c r="AB10">
        <f t="shared" si="4"/>
        <v>22.495863930961232</v>
      </c>
      <c r="AC10" t="s">
        <v>68</v>
      </c>
      <c r="AG10">
        <f t="shared" si="5"/>
        <v>171.72301004654352</v>
      </c>
      <c r="AH10" t="s">
        <v>68</v>
      </c>
      <c r="AL10">
        <f t="shared" si="6"/>
        <v>906.54102778245067</v>
      </c>
      <c r="AM10" t="s">
        <v>68</v>
      </c>
    </row>
    <row r="11" spans="1:39" x14ac:dyDescent="0.5">
      <c r="A11">
        <v>180</v>
      </c>
      <c r="B11">
        <f t="shared" si="2"/>
        <v>453.15</v>
      </c>
      <c r="C11">
        <v>2014000</v>
      </c>
      <c r="D11">
        <v>887</v>
      </c>
      <c r="E11">
        <v>5.1597</v>
      </c>
      <c r="F11">
        <v>0.67600000000000005</v>
      </c>
      <c r="G11">
        <f>1493*(10^-7)</f>
        <v>1.493E-4</v>
      </c>
      <c r="H11">
        <f>149*(10^-7)</f>
        <v>1.49E-5</v>
      </c>
      <c r="I11">
        <v>1002700</v>
      </c>
      <c r="J11">
        <v>2615</v>
      </c>
      <c r="K11">
        <v>4.2189999999999998E-2</v>
      </c>
      <c r="L11">
        <v>2014000</v>
      </c>
      <c r="Q11" t="s">
        <v>49</v>
      </c>
      <c r="R11" t="s">
        <v>50</v>
      </c>
      <c r="S11">
        <v>2.5000000000000001E-5</v>
      </c>
      <c r="T11" t="s">
        <v>30</v>
      </c>
      <c r="U11">
        <f>B11 - 273.15</f>
        <v>180</v>
      </c>
      <c r="V11">
        <f t="shared" si="0"/>
        <v>504815642464.83594</v>
      </c>
      <c r="W11">
        <f t="shared" si="3"/>
        <v>64516.129032258061</v>
      </c>
      <c r="X11">
        <f t="shared" si="1"/>
        <v>0.76468592651306011</v>
      </c>
      <c r="Y11" t="s">
        <v>68</v>
      </c>
      <c r="AB11">
        <f t="shared" si="4"/>
        <v>21.849732081109217</v>
      </c>
      <c r="AC11" t="s">
        <v>68</v>
      </c>
      <c r="AG11">
        <f t="shared" si="5"/>
        <v>166.79073865283098</v>
      </c>
      <c r="AH11" t="s">
        <v>68</v>
      </c>
      <c r="AL11">
        <f t="shared" si="6"/>
        <v>880.50312885821052</v>
      </c>
      <c r="AM11" t="s">
        <v>68</v>
      </c>
    </row>
    <row r="12" spans="1:39" x14ac:dyDescent="0.5">
      <c r="A12">
        <v>200</v>
      </c>
      <c r="B12">
        <f t="shared" si="2"/>
        <v>473.15</v>
      </c>
      <c r="C12">
        <v>1939000</v>
      </c>
      <c r="D12">
        <v>865</v>
      </c>
      <c r="E12">
        <v>7.8653000000000004</v>
      </c>
      <c r="F12">
        <v>0.66400000000000003</v>
      </c>
      <c r="G12">
        <f>1338*(10^-7)</f>
        <v>1.338E-4</v>
      </c>
      <c r="H12">
        <f>156*(10^-7)</f>
        <v>1.56E-5</v>
      </c>
      <c r="I12">
        <v>1555100</v>
      </c>
      <c r="J12">
        <v>2883</v>
      </c>
      <c r="K12">
        <v>3.7769999999999998E-2</v>
      </c>
      <c r="L12">
        <v>1939000</v>
      </c>
      <c r="Q12" t="s">
        <v>81</v>
      </c>
      <c r="S12">
        <v>400</v>
      </c>
      <c r="T12" t="s">
        <v>73</v>
      </c>
      <c r="U12">
        <f>B12 - 273.15</f>
        <v>200</v>
      </c>
      <c r="V12">
        <f t="shared" si="0"/>
        <v>473461628923.76685</v>
      </c>
      <c r="W12">
        <f t="shared" si="3"/>
        <v>64516.129032258061</v>
      </c>
      <c r="X12">
        <f t="shared" si="1"/>
        <v>0.71719141390744967</v>
      </c>
      <c r="Y12" t="s">
        <v>68</v>
      </c>
      <c r="AB12">
        <f t="shared" si="4"/>
        <v>20.492648944392528</v>
      </c>
      <c r="AC12" t="s">
        <v>68</v>
      </c>
      <c r="AG12">
        <f t="shared" si="5"/>
        <v>156.43139429354827</v>
      </c>
      <c r="AH12" t="s">
        <v>68</v>
      </c>
      <c r="AL12">
        <f t="shared" si="6"/>
        <v>825.81522954832133</v>
      </c>
      <c r="AM12" t="s">
        <v>68</v>
      </c>
    </row>
    <row r="13" spans="1:39" x14ac:dyDescent="0.5">
      <c r="A13">
        <v>220</v>
      </c>
      <c r="B13">
        <f t="shared" si="2"/>
        <v>493.15</v>
      </c>
      <c r="D13">
        <v>841</v>
      </c>
      <c r="Q13" t="s">
        <v>78</v>
      </c>
      <c r="R13" t="s">
        <v>51</v>
      </c>
      <c r="S13">
        <f>S12/0.0254</f>
        <v>15748.031496062993</v>
      </c>
      <c r="T13" t="s">
        <v>72</v>
      </c>
    </row>
    <row r="14" spans="1:39" x14ac:dyDescent="0.5">
      <c r="A14">
        <v>240</v>
      </c>
      <c r="B14">
        <f t="shared" si="2"/>
        <v>513.15</v>
      </c>
      <c r="D14">
        <v>813</v>
      </c>
      <c r="Q14" t="s">
        <v>79</v>
      </c>
      <c r="R14" t="s">
        <v>80</v>
      </c>
      <c r="S14">
        <v>2</v>
      </c>
    </row>
    <row r="15" spans="1:39" x14ac:dyDescent="0.5">
      <c r="A15">
        <v>260</v>
      </c>
      <c r="B15">
        <f t="shared" si="2"/>
        <v>533.15</v>
      </c>
      <c r="D15">
        <v>783</v>
      </c>
      <c r="Q15" t="s">
        <v>52</v>
      </c>
      <c r="R15" t="s">
        <v>53</v>
      </c>
      <c r="S15">
        <f>S11*S14</f>
        <v>5.0000000000000002E-5</v>
      </c>
      <c r="T15" t="s">
        <v>30</v>
      </c>
    </row>
    <row r="16" spans="1:39" x14ac:dyDescent="0.5">
      <c r="A16">
        <v>280</v>
      </c>
      <c r="B16">
        <f t="shared" si="2"/>
        <v>553.15</v>
      </c>
      <c r="D16">
        <v>750</v>
      </c>
      <c r="Q16" t="s">
        <v>54</v>
      </c>
      <c r="R16" t="s">
        <v>55</v>
      </c>
      <c r="S16">
        <v>3.1000000000000001E-5</v>
      </c>
      <c r="T16" t="s">
        <v>30</v>
      </c>
    </row>
    <row r="17" spans="1:20" x14ac:dyDescent="0.5">
      <c r="A17">
        <v>300</v>
      </c>
      <c r="B17">
        <f t="shared" si="2"/>
        <v>573.15</v>
      </c>
      <c r="D17">
        <v>713</v>
      </c>
      <c r="Q17" t="s">
        <v>56</v>
      </c>
      <c r="R17" t="s">
        <v>57</v>
      </c>
      <c r="S17">
        <f>S9-(2*S15)</f>
        <v>1.065E-2</v>
      </c>
      <c r="T17" t="s">
        <v>30</v>
      </c>
    </row>
    <row r="18" spans="1:20" x14ac:dyDescent="0.5">
      <c r="Q18" t="s">
        <v>58</v>
      </c>
      <c r="R18" t="s">
        <v>59</v>
      </c>
      <c r="S18">
        <f>S10-S15</f>
        <v>5.3249999999999999E-3</v>
      </c>
      <c r="T18" t="s">
        <v>30</v>
      </c>
    </row>
    <row r="19" spans="1:20" x14ac:dyDescent="0.5">
      <c r="Q19" t="s">
        <v>60</v>
      </c>
      <c r="R19" t="s">
        <v>61</v>
      </c>
      <c r="S19">
        <f>PI()*(S10^2 - S18^2)</f>
        <v>1.6807520696705311E-6</v>
      </c>
      <c r="T19" t="s">
        <v>62</v>
      </c>
    </row>
    <row r="20" spans="1:20" x14ac:dyDescent="0.5">
      <c r="Q20" t="s">
        <v>63</v>
      </c>
      <c r="R20" t="s">
        <v>64</v>
      </c>
      <c r="S20">
        <f>1 - ((1.05*PI()*S13*$S$15)/4)</f>
        <v>0.3506550617580152</v>
      </c>
    </row>
    <row r="21" spans="1:20" x14ac:dyDescent="0.5">
      <c r="Q21" t="s">
        <v>65</v>
      </c>
      <c r="R21" t="s">
        <v>10</v>
      </c>
      <c r="S21">
        <f>((S15^2)*(S20^3))/(122*((1 - S20)^2))</f>
        <v>2.0954128177915118E-12</v>
      </c>
    </row>
    <row r="23" spans="1:20" x14ac:dyDescent="0.5">
      <c r="Q23" t="s">
        <v>67</v>
      </c>
      <c r="S23">
        <f>(S21*S19)/S7</f>
        <v>2.3479129535448288E-17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C296-9546-4E75-A896-F6F2C9551D95}">
  <dimension ref="A1:L11"/>
  <sheetViews>
    <sheetView workbookViewId="0">
      <selection activeCell="F31" sqref="F31"/>
    </sheetView>
  </sheetViews>
  <sheetFormatPr defaultRowHeight="14.35" x14ac:dyDescent="0.5"/>
  <sheetData>
    <row r="1" spans="1:12" x14ac:dyDescent="0.5">
      <c r="A1" t="s">
        <v>0</v>
      </c>
      <c r="B1" t="s">
        <v>26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74</v>
      </c>
      <c r="L1" t="s">
        <v>75</v>
      </c>
    </row>
    <row r="2" spans="1:12" x14ac:dyDescent="0.5">
      <c r="A2">
        <f>20+273.15</f>
        <v>293.14999999999998</v>
      </c>
      <c r="B2">
        <v>2448000</v>
      </c>
      <c r="C2">
        <v>998.2</v>
      </c>
      <c r="D2">
        <v>0.02</v>
      </c>
      <c r="E2">
        <v>0.60299999999999998</v>
      </c>
      <c r="F2">
        <f>1*10^-3</f>
        <v>1E-3</v>
      </c>
      <c r="G2">
        <f>0.96*10^-5</f>
        <v>9.6000000000000013E-6</v>
      </c>
      <c r="H2">
        <f>0.02*10^5</f>
        <v>2000</v>
      </c>
      <c r="I2">
        <v>1810</v>
      </c>
      <c r="J2">
        <f>7.28*10^-2</f>
        <v>7.2800000000000004E-2</v>
      </c>
      <c r="K2">
        <v>57.762</v>
      </c>
      <c r="L2">
        <v>1.0018E-3</v>
      </c>
    </row>
    <row r="3" spans="1:12" x14ac:dyDescent="0.5">
      <c r="A3">
        <f>40+273.15</f>
        <v>313.14999999999998</v>
      </c>
      <c r="B3">
        <v>2402000</v>
      </c>
      <c r="C3">
        <v>992.3</v>
      </c>
      <c r="D3">
        <v>0.05</v>
      </c>
      <c r="E3">
        <v>0.63</v>
      </c>
      <c r="F3">
        <f>0.65*10^-3</f>
        <v>6.5000000000000008E-4</v>
      </c>
      <c r="G3">
        <f>1.04*10^-5</f>
        <v>1.04E-5</v>
      </c>
      <c r="H3">
        <f>0.07*10^5</f>
        <v>7000.0000000000009</v>
      </c>
      <c r="I3">
        <v>1890</v>
      </c>
      <c r="J3">
        <f>6.96*10^-2</f>
        <v>6.9599999999999995E-2</v>
      </c>
      <c r="K3">
        <v>19.515000000000001</v>
      </c>
      <c r="L3">
        <v>1.0078999999999999E-3</v>
      </c>
    </row>
    <row r="4" spans="1:12" x14ac:dyDescent="0.5">
      <c r="A4">
        <f>60+273.15</f>
        <v>333.15</v>
      </c>
      <c r="B4">
        <v>2359000</v>
      </c>
      <c r="C4">
        <v>983</v>
      </c>
      <c r="D4">
        <v>0.13</v>
      </c>
      <c r="E4">
        <v>0.64900000000000002</v>
      </c>
      <c r="F4">
        <f>0.47*10^-3</f>
        <v>4.6999999999999999E-4</v>
      </c>
      <c r="G4">
        <f>1.12*10^-5</f>
        <v>1.1200000000000001E-5</v>
      </c>
      <c r="H4">
        <f>0.2*10^5</f>
        <v>20000</v>
      </c>
      <c r="I4">
        <v>1910</v>
      </c>
      <c r="J4">
        <f>6.62*10^-2</f>
        <v>6.6200000000000009E-2</v>
      </c>
      <c r="K4">
        <v>7.6669999999999998</v>
      </c>
      <c r="L4">
        <v>1.0170999999999999E-3</v>
      </c>
    </row>
    <row r="5" spans="1:12" x14ac:dyDescent="0.5">
      <c r="A5">
        <f>80+273.15</f>
        <v>353.15</v>
      </c>
      <c r="B5">
        <v>2309000</v>
      </c>
      <c r="C5">
        <v>972</v>
      </c>
      <c r="D5">
        <v>0.28999999999999998</v>
      </c>
      <c r="E5">
        <v>0.66800000000000004</v>
      </c>
      <c r="F5">
        <f>0.36*10^-3</f>
        <v>3.5999999999999997E-4</v>
      </c>
      <c r="G5">
        <f>1.19*10^-5</f>
        <v>1.1900000000000001E-5</v>
      </c>
      <c r="H5">
        <f>0.47*10^5</f>
        <v>47000</v>
      </c>
      <c r="I5">
        <v>1950</v>
      </c>
      <c r="J5">
        <f>6.26*10^-2</f>
        <v>6.2600000000000003E-2</v>
      </c>
      <c r="K5">
        <v>3.4053</v>
      </c>
      <c r="L5">
        <v>1.0291E-3</v>
      </c>
    </row>
    <row r="6" spans="1:12" x14ac:dyDescent="0.5">
      <c r="A6">
        <f>100+273.15</f>
        <v>373.15</v>
      </c>
      <c r="B6">
        <v>2258000</v>
      </c>
      <c r="C6">
        <v>958</v>
      </c>
      <c r="D6">
        <v>0.6</v>
      </c>
      <c r="E6">
        <v>0.68</v>
      </c>
      <c r="F6">
        <f>0.28*10^-3</f>
        <v>2.8000000000000003E-4</v>
      </c>
      <c r="G6">
        <f>1.27*10^-5</f>
        <v>1.27E-5</v>
      </c>
      <c r="H6">
        <f>1.01*10^5</f>
        <v>101000</v>
      </c>
      <c r="I6">
        <v>2010</v>
      </c>
      <c r="J6">
        <f>5.89*10^-2</f>
        <v>5.8900000000000001E-2</v>
      </c>
      <c r="K6">
        <v>1.6719999999999999</v>
      </c>
      <c r="L6">
        <v>1.0464999999999999E-3</v>
      </c>
    </row>
    <row r="7" spans="1:12" x14ac:dyDescent="0.5">
      <c r="A7" s="2">
        <f>120+273.15</f>
        <v>393.15</v>
      </c>
      <c r="B7" s="2">
        <f>2200*1000</f>
        <v>2200000</v>
      </c>
      <c r="C7" s="2">
        <v>945</v>
      </c>
      <c r="D7" s="2">
        <v>1.1200000000000001</v>
      </c>
      <c r="E7" s="2">
        <v>0.68200000000000005</v>
      </c>
      <c r="F7" s="2">
        <f>0.23/1000</f>
        <v>2.3000000000000001E-4</v>
      </c>
      <c r="G7" s="2">
        <f>1.34*10^-5</f>
        <v>1.3400000000000002E-5</v>
      </c>
      <c r="H7" s="2">
        <f>2.02*10^5</f>
        <v>202000</v>
      </c>
      <c r="I7" s="2">
        <f>2.09*1000</f>
        <v>2090</v>
      </c>
      <c r="J7" s="2">
        <f>5.5*10^-2</f>
        <v>5.5E-2</v>
      </c>
      <c r="K7">
        <v>0.89136000000000004</v>
      </c>
      <c r="L7">
        <v>1.0602999999999999E-3</v>
      </c>
    </row>
    <row r="8" spans="1:12" x14ac:dyDescent="0.5">
      <c r="A8">
        <f>140+273.15</f>
        <v>413.15</v>
      </c>
      <c r="B8">
        <f>2139*1000</f>
        <v>2139000</v>
      </c>
      <c r="C8">
        <v>928</v>
      </c>
      <c r="D8">
        <v>1.99</v>
      </c>
      <c r="E8">
        <v>0.68300000000000005</v>
      </c>
      <c r="F8">
        <f>0.2/1000</f>
        <v>2.0000000000000001E-4</v>
      </c>
      <c r="G8">
        <f>1.41*10^-5</f>
        <v>1.4100000000000001E-5</v>
      </c>
      <c r="H8">
        <f>3.9*10^5</f>
        <v>390000</v>
      </c>
      <c r="I8">
        <f>2.21*1000</f>
        <v>2210</v>
      </c>
      <c r="J8">
        <f>5.06*10^-2</f>
        <v>5.0599999999999999E-2</v>
      </c>
      <c r="K8">
        <v>0.50849999999999995</v>
      </c>
      <c r="L8">
        <v>1.0797999999999999E-3</v>
      </c>
    </row>
    <row r="9" spans="1:12" x14ac:dyDescent="0.5">
      <c r="A9">
        <f>160+273.15</f>
        <v>433.15</v>
      </c>
      <c r="B9">
        <f>2074*1000</f>
        <v>2074000</v>
      </c>
      <c r="C9">
        <v>909</v>
      </c>
      <c r="D9">
        <v>3.27</v>
      </c>
      <c r="E9">
        <v>0.67900000000000005</v>
      </c>
      <c r="F9">
        <f>0.17/1000</f>
        <v>1.7000000000000001E-4</v>
      </c>
      <c r="G9">
        <f>1.49*10^-5</f>
        <v>1.4900000000000001E-5</v>
      </c>
      <c r="H9">
        <f>6.44*10^5</f>
        <v>644000</v>
      </c>
      <c r="I9">
        <f>2.38*1000</f>
        <v>2380</v>
      </c>
      <c r="J9">
        <f>4.66*10^-2</f>
        <v>4.6600000000000003E-2</v>
      </c>
      <c r="K9">
        <v>0.30680000000000002</v>
      </c>
      <c r="L9">
        <v>1.1019999999999999E-3</v>
      </c>
    </row>
    <row r="10" spans="1:12" x14ac:dyDescent="0.5">
      <c r="A10">
        <f>180+273.15</f>
        <v>453.15</v>
      </c>
      <c r="B10">
        <f>2003*1000</f>
        <v>2003000</v>
      </c>
      <c r="C10">
        <v>888</v>
      </c>
      <c r="D10">
        <v>5.16</v>
      </c>
      <c r="E10">
        <v>0.66900000000000004</v>
      </c>
      <c r="F10">
        <f>0.15/1000</f>
        <v>1.4999999999999999E-4</v>
      </c>
      <c r="G10">
        <f>1.57*10^-5</f>
        <v>1.5700000000000002E-5</v>
      </c>
      <c r="H10">
        <f>10.04*10^5</f>
        <v>1003999.9999999999</v>
      </c>
      <c r="I10">
        <f>2.62*1000</f>
        <v>2620</v>
      </c>
      <c r="J10">
        <f>4.29*10^-2</f>
        <v>4.2900000000000001E-2</v>
      </c>
      <c r="K10">
        <v>0.19384999999999999</v>
      </c>
      <c r="L10">
        <v>1.1274E-3</v>
      </c>
    </row>
    <row r="11" spans="1:12" x14ac:dyDescent="0.5">
      <c r="A11">
        <f>200+273.15</f>
        <v>473.15</v>
      </c>
      <c r="B11">
        <f>1967*1000</f>
        <v>1967000</v>
      </c>
      <c r="C11">
        <v>865</v>
      </c>
      <c r="D11">
        <v>7.87</v>
      </c>
      <c r="E11">
        <v>0.65900000000000003</v>
      </c>
      <c r="F11">
        <f>0.14/1000</f>
        <v>1.4000000000000001E-4</v>
      </c>
      <c r="G11">
        <f>1.65*10^-5</f>
        <v>1.6500000000000001E-5</v>
      </c>
      <c r="H11">
        <f>16.19*10^5</f>
        <v>1619000.0000000002</v>
      </c>
      <c r="I11">
        <f>2.91*1000</f>
        <v>2910</v>
      </c>
      <c r="J11">
        <f>3.89*10^-2</f>
        <v>3.8900000000000004E-2</v>
      </c>
      <c r="K11">
        <v>0.12720999999999999</v>
      </c>
      <c r="L11">
        <v>1.1565E-3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4C03-7C31-4818-B0A1-3616EFA8E382}">
  <dimension ref="A1:A4"/>
  <sheetViews>
    <sheetView tabSelected="1" workbookViewId="0">
      <selection activeCell="C9" sqref="C9"/>
    </sheetView>
  </sheetViews>
  <sheetFormatPr defaultRowHeight="14.35" x14ac:dyDescent="0.5"/>
  <sheetData>
    <row r="1" spans="1:1" x14ac:dyDescent="0.5">
      <c r="A1" s="4" t="s">
        <v>90</v>
      </c>
    </row>
    <row r="2" spans="1:1" x14ac:dyDescent="0.5">
      <c r="A2" t="s">
        <v>91</v>
      </c>
    </row>
    <row r="3" spans="1:1" x14ac:dyDescent="0.5">
      <c r="A3" t="s">
        <v>92</v>
      </c>
    </row>
    <row r="4" spans="1:1" x14ac:dyDescent="0.5">
      <c r="A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Calculations</vt:lpstr>
      <vt:lpstr>Original properties (0 to 100C)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Gallagher</dc:creator>
  <cp:lastModifiedBy>Liam Gallagher</cp:lastModifiedBy>
  <dcterms:created xsi:type="dcterms:W3CDTF">2025-04-18T20:42:56Z</dcterms:created>
  <dcterms:modified xsi:type="dcterms:W3CDTF">2025-10-29T16:15:01Z</dcterms:modified>
</cp:coreProperties>
</file>